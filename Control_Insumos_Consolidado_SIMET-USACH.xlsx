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H:\Mi unidad\TESIS MSGI\TESIS\planilla TESIS\"/>
    </mc:Choice>
  </mc:AlternateContent>
  <xr:revisionPtr revIDLastSave="0" documentId="8_{E28384FB-CEF7-48A6-83EE-A1701E84E714}" xr6:coauthVersionLast="36" xr6:coauthVersionMax="36" xr10:uidLastSave="{00000000-0000-0000-0000-000000000000}"/>
  <bookViews>
    <workbookView xWindow="0" yWindow="0" windowWidth="28800" windowHeight="11505" tabRatio="500" activeTab="2" xr2:uid="{00000000-000D-0000-FFFF-FFFF00000000}"/>
  </bookViews>
  <sheets>
    <sheet name="Instrucciones" sheetId="1" r:id="rId1"/>
    <sheet name="Listas" sheetId="2" state="hidden" r:id="rId2"/>
    <sheet name="Catálogo de Insumos" sheetId="3" r:id="rId3"/>
    <sheet name="Vista General" sheetId="4" r:id="rId4"/>
    <sheet name="Registro de Ingresos" sheetId="5" r:id="rId5"/>
    <sheet name="Registro de Egresos" sheetId="6" r:id="rId6"/>
  </sheets>
  <definedNames>
    <definedName name="_xlnm._FilterDatabase" localSheetId="3" hidden="1">'Vista General'!$A$4:$I$72</definedName>
  </definedName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D72" i="4" l="1"/>
  <c r="C72" i="4"/>
  <c r="B72" i="4"/>
  <c r="A72" i="4"/>
  <c r="D71" i="4"/>
  <c r="C71" i="4"/>
  <c r="B71" i="4"/>
  <c r="A71" i="4"/>
  <c r="D70" i="4"/>
  <c r="C70" i="4"/>
  <c r="B70" i="4"/>
  <c r="A70" i="4"/>
  <c r="F69" i="4"/>
  <c r="D69" i="4"/>
  <c r="C69" i="4"/>
  <c r="B69" i="4"/>
  <c r="A69" i="4"/>
  <c r="F68" i="4"/>
  <c r="D68" i="4"/>
  <c r="C68" i="4"/>
  <c r="B68" i="4"/>
  <c r="A68" i="4"/>
  <c r="D67" i="4"/>
  <c r="C67" i="4"/>
  <c r="B67" i="4"/>
  <c r="A67" i="4"/>
  <c r="D66" i="4"/>
  <c r="C66" i="4"/>
  <c r="B66" i="4"/>
  <c r="A66" i="4"/>
  <c r="D65" i="4"/>
  <c r="C65" i="4"/>
  <c r="B65" i="4"/>
  <c r="A65" i="4"/>
  <c r="D64" i="4"/>
  <c r="C64" i="4"/>
  <c r="B64" i="4"/>
  <c r="A64" i="4"/>
  <c r="D63" i="4"/>
  <c r="C63" i="4"/>
  <c r="B63" i="4"/>
  <c r="A63" i="4"/>
  <c r="F62" i="4"/>
  <c r="D62" i="4"/>
  <c r="C62" i="4"/>
  <c r="B62" i="4"/>
  <c r="A62" i="4"/>
  <c r="D61" i="4"/>
  <c r="C61" i="4"/>
  <c r="B61" i="4"/>
  <c r="A61" i="4"/>
  <c r="F60" i="4"/>
  <c r="D60" i="4"/>
  <c r="C60" i="4"/>
  <c r="B60" i="4"/>
  <c r="A60" i="4"/>
  <c r="F59" i="4"/>
  <c r="D59" i="4"/>
  <c r="C59" i="4"/>
  <c r="B59" i="4"/>
  <c r="A59" i="4"/>
  <c r="D58" i="4"/>
  <c r="C58" i="4"/>
  <c r="B58" i="4"/>
  <c r="A58" i="4"/>
  <c r="D57" i="4"/>
  <c r="C57" i="4"/>
  <c r="B57" i="4"/>
  <c r="A57" i="4"/>
  <c r="D56" i="4"/>
  <c r="C56" i="4"/>
  <c r="B56" i="4"/>
  <c r="A56" i="4"/>
  <c r="D55" i="4"/>
  <c r="C55" i="4"/>
  <c r="B55" i="4"/>
  <c r="A55" i="4"/>
  <c r="D54" i="4"/>
  <c r="C54" i="4"/>
  <c r="B54" i="4"/>
  <c r="A54" i="4"/>
  <c r="D53" i="4"/>
  <c r="C53" i="4"/>
  <c r="B53" i="4"/>
  <c r="A53" i="4"/>
  <c r="F52" i="4"/>
  <c r="D52" i="4"/>
  <c r="C52" i="4"/>
  <c r="B52" i="4"/>
  <c r="A52" i="4"/>
  <c r="D51" i="4"/>
  <c r="C51" i="4"/>
  <c r="B51" i="4"/>
  <c r="A51" i="4"/>
  <c r="D50" i="4"/>
  <c r="C50" i="4"/>
  <c r="B50" i="4"/>
  <c r="A50" i="4"/>
  <c r="E49" i="4"/>
  <c r="D49" i="4"/>
  <c r="C49" i="4"/>
  <c r="B49" i="4"/>
  <c r="A49" i="4"/>
  <c r="D48" i="4"/>
  <c r="C48" i="4"/>
  <c r="B48" i="4"/>
  <c r="A48" i="4"/>
  <c r="D47" i="4"/>
  <c r="C47" i="4"/>
  <c r="B47" i="4"/>
  <c r="A47" i="4"/>
  <c r="F46" i="4"/>
  <c r="D46" i="4"/>
  <c r="C46" i="4"/>
  <c r="B46" i="4"/>
  <c r="A46" i="4"/>
  <c r="D45" i="4"/>
  <c r="C45" i="4"/>
  <c r="B45" i="4"/>
  <c r="A45" i="4"/>
  <c r="F44" i="4"/>
  <c r="D44" i="4"/>
  <c r="C44" i="4"/>
  <c r="B44" i="4"/>
  <c r="A44" i="4"/>
  <c r="F43" i="4"/>
  <c r="D43" i="4"/>
  <c r="C43" i="4"/>
  <c r="B43" i="4"/>
  <c r="A43" i="4"/>
  <c r="D42" i="4"/>
  <c r="C42" i="4"/>
  <c r="B42" i="4"/>
  <c r="A42" i="4"/>
  <c r="D41" i="4"/>
  <c r="C41" i="4"/>
  <c r="B41" i="4"/>
  <c r="A41" i="4"/>
  <c r="I40" i="4"/>
  <c r="H40" i="4"/>
  <c r="G40" i="4"/>
  <c r="F40" i="4"/>
  <c r="E40" i="4"/>
  <c r="D40" i="4"/>
  <c r="C40" i="4"/>
  <c r="B40" i="4"/>
  <c r="A40" i="4"/>
  <c r="I39" i="4"/>
  <c r="H39" i="4"/>
  <c r="G39" i="4"/>
  <c r="F39" i="4"/>
  <c r="E39" i="4"/>
  <c r="D39" i="4"/>
  <c r="C39" i="4"/>
  <c r="B39" i="4"/>
  <c r="A39" i="4"/>
  <c r="I38" i="4"/>
  <c r="H38" i="4"/>
  <c r="G38" i="4"/>
  <c r="F38" i="4"/>
  <c r="E38" i="4"/>
  <c r="D38" i="4"/>
  <c r="C38" i="4"/>
  <c r="B38" i="4"/>
  <c r="A38" i="4"/>
  <c r="I37" i="4"/>
  <c r="H37" i="4"/>
  <c r="G37" i="4"/>
  <c r="F37" i="4"/>
  <c r="E37" i="4"/>
  <c r="D37" i="4"/>
  <c r="C37" i="4"/>
  <c r="B37" i="4"/>
  <c r="A37" i="4"/>
  <c r="I36" i="4"/>
  <c r="H36" i="4"/>
  <c r="G36" i="4"/>
  <c r="F36" i="4"/>
  <c r="E36" i="4"/>
  <c r="D36" i="4"/>
  <c r="C36" i="4"/>
  <c r="B36" i="4"/>
  <c r="A36" i="4"/>
  <c r="I35" i="4"/>
  <c r="H35" i="4"/>
  <c r="G35" i="4"/>
  <c r="F35" i="4"/>
  <c r="E35" i="4"/>
  <c r="D35" i="4"/>
  <c r="C35" i="4"/>
  <c r="B35" i="4"/>
  <c r="A35" i="4"/>
  <c r="I34" i="4"/>
  <c r="H34" i="4"/>
  <c r="G34" i="4"/>
  <c r="F34" i="4"/>
  <c r="E34" i="4"/>
  <c r="D34" i="4"/>
  <c r="C34" i="4"/>
  <c r="B34" i="4"/>
  <c r="A34" i="4"/>
  <c r="D33" i="4"/>
  <c r="C33" i="4"/>
  <c r="B33" i="4"/>
  <c r="A33" i="4"/>
  <c r="D32" i="4"/>
  <c r="C32" i="4"/>
  <c r="B32" i="4"/>
  <c r="A32" i="4"/>
  <c r="D31" i="4"/>
  <c r="C31" i="4"/>
  <c r="B31" i="4"/>
  <c r="A31" i="4"/>
  <c r="F30" i="4"/>
  <c r="D30" i="4"/>
  <c r="C30" i="4"/>
  <c r="B30" i="4"/>
  <c r="A30" i="4"/>
  <c r="D29" i="4"/>
  <c r="C29" i="4"/>
  <c r="B29" i="4"/>
  <c r="A29" i="4"/>
  <c r="F28" i="4"/>
  <c r="D28" i="4"/>
  <c r="C28" i="4"/>
  <c r="B28" i="4"/>
  <c r="A28" i="4"/>
  <c r="F27" i="4"/>
  <c r="D27" i="4"/>
  <c r="C27" i="4"/>
  <c r="B27" i="4"/>
  <c r="A27" i="4"/>
  <c r="D26" i="4"/>
  <c r="C26" i="4"/>
  <c r="B26" i="4"/>
  <c r="A26" i="4"/>
  <c r="D25" i="4"/>
  <c r="C25" i="4"/>
  <c r="B25" i="4"/>
  <c r="A25" i="4"/>
  <c r="D24" i="4"/>
  <c r="C24" i="4"/>
  <c r="B24" i="4"/>
  <c r="A24" i="4"/>
  <c r="F23" i="4"/>
  <c r="D23" i="4"/>
  <c r="C23" i="4"/>
  <c r="B23" i="4"/>
  <c r="A23" i="4"/>
  <c r="D22" i="4"/>
  <c r="C22" i="4"/>
  <c r="B22" i="4"/>
  <c r="A22" i="4"/>
  <c r="D21" i="4"/>
  <c r="C21" i="4"/>
  <c r="B21" i="4"/>
  <c r="A21" i="4"/>
  <c r="D20" i="4"/>
  <c r="C20" i="4"/>
  <c r="B20" i="4"/>
  <c r="A20" i="4"/>
  <c r="D19" i="4"/>
  <c r="C19" i="4"/>
  <c r="B19" i="4"/>
  <c r="A19" i="4"/>
  <c r="D18" i="4"/>
  <c r="C18" i="4"/>
  <c r="B18" i="4"/>
  <c r="A18" i="4"/>
  <c r="D17" i="4"/>
  <c r="C17" i="4"/>
  <c r="B17" i="4"/>
  <c r="A17" i="4"/>
  <c r="F16" i="4"/>
  <c r="D16" i="4"/>
  <c r="C16" i="4"/>
  <c r="B16" i="4"/>
  <c r="A16" i="4"/>
  <c r="D15" i="4"/>
  <c r="C15" i="4"/>
  <c r="B15" i="4"/>
  <c r="A15" i="4"/>
  <c r="F14" i="4"/>
  <c r="D14" i="4"/>
  <c r="C14" i="4"/>
  <c r="B14" i="4"/>
  <c r="A14" i="4"/>
  <c r="D13" i="4"/>
  <c r="C13" i="4"/>
  <c r="B13" i="4"/>
  <c r="A13" i="4"/>
  <c r="F12" i="4"/>
  <c r="D12" i="4"/>
  <c r="C12" i="4"/>
  <c r="B12" i="4"/>
  <c r="A12" i="4"/>
  <c r="F11" i="4"/>
  <c r="D11" i="4"/>
  <c r="C11" i="4"/>
  <c r="B11" i="4"/>
  <c r="A11" i="4"/>
  <c r="D10" i="4"/>
  <c r="C10" i="4"/>
  <c r="B10" i="4"/>
  <c r="A10" i="4"/>
  <c r="D9" i="4"/>
  <c r="C9" i="4"/>
  <c r="B9" i="4"/>
  <c r="A9" i="4"/>
  <c r="D8" i="4"/>
  <c r="C8" i="4"/>
  <c r="B8" i="4"/>
  <c r="A8" i="4"/>
  <c r="D7" i="4"/>
  <c r="C7" i="4"/>
  <c r="B7" i="4"/>
  <c r="A7" i="4"/>
  <c r="D6" i="4"/>
  <c r="C6" i="4"/>
  <c r="B6" i="4"/>
  <c r="A6" i="4"/>
  <c r="D5" i="4"/>
  <c r="C5" i="4"/>
  <c r="B5" i="4"/>
  <c r="A5" i="4"/>
  <c r="R79" i="3"/>
  <c r="F72" i="4" s="1"/>
  <c r="G79" i="3"/>
  <c r="J79" i="3" s="1"/>
  <c r="R78" i="3"/>
  <c r="J78" i="3"/>
  <c r="G78" i="3"/>
  <c r="R77" i="3"/>
  <c r="F70" i="4" s="1"/>
  <c r="M77" i="3"/>
  <c r="Z77" i="3" s="1"/>
  <c r="N77" i="3" s="1"/>
  <c r="J77" i="3"/>
  <c r="G77" i="3"/>
  <c r="R76" i="3"/>
  <c r="M76" i="3"/>
  <c r="Z76" i="3" s="1"/>
  <c r="N76" i="3" s="1"/>
  <c r="J76" i="3"/>
  <c r="G76" i="3"/>
  <c r="R75" i="3"/>
  <c r="M75" i="3"/>
  <c r="Z75" i="3" s="1"/>
  <c r="N75" i="3" s="1"/>
  <c r="G75" i="3"/>
  <c r="J75" i="3" s="1"/>
  <c r="Z74" i="3"/>
  <c r="N74" i="3" s="1"/>
  <c r="R74" i="3"/>
  <c r="F67" i="4" s="1"/>
  <c r="M74" i="3"/>
  <c r="G74" i="3"/>
  <c r="J74" i="3" s="1"/>
  <c r="Z73" i="3"/>
  <c r="N73" i="3" s="1"/>
  <c r="R73" i="3"/>
  <c r="F66" i="4" s="1"/>
  <c r="M73" i="3"/>
  <c r="J73" i="3"/>
  <c r="G73" i="3"/>
  <c r="R72" i="3"/>
  <c r="F65" i="4" s="1"/>
  <c r="M72" i="3"/>
  <c r="Z72" i="3" s="1"/>
  <c r="N72" i="3" s="1"/>
  <c r="P72" i="3" s="1"/>
  <c r="G72" i="3"/>
  <c r="J72" i="3" s="1"/>
  <c r="Z71" i="3"/>
  <c r="N71" i="3" s="1"/>
  <c r="R71" i="3"/>
  <c r="M71" i="3"/>
  <c r="G71" i="3"/>
  <c r="J71" i="3" s="1"/>
  <c r="R70" i="3"/>
  <c r="M70" i="3"/>
  <c r="Z70" i="3" s="1"/>
  <c r="N70" i="3" s="1"/>
  <c r="J70" i="3"/>
  <c r="G70" i="3"/>
  <c r="R69" i="3"/>
  <c r="P69" i="3"/>
  <c r="Q69" i="3" s="1"/>
  <c r="S69" i="3" s="1"/>
  <c r="O69" i="3"/>
  <c r="N69" i="3"/>
  <c r="M69" i="3"/>
  <c r="Z69" i="3" s="1"/>
  <c r="G69" i="3"/>
  <c r="J69" i="3" s="1"/>
  <c r="Z68" i="3"/>
  <c r="N68" i="3" s="1"/>
  <c r="P68" i="3" s="1"/>
  <c r="Q68" i="3" s="1"/>
  <c r="S68" i="3" s="1"/>
  <c r="G61" i="4" s="1"/>
  <c r="R68" i="3"/>
  <c r="O68" i="3"/>
  <c r="M68" i="3"/>
  <c r="G68" i="3"/>
  <c r="J68" i="3" s="1"/>
  <c r="R67" i="3"/>
  <c r="M67" i="3"/>
  <c r="Z67" i="3" s="1"/>
  <c r="N67" i="3" s="1"/>
  <c r="G67" i="3"/>
  <c r="J67" i="3" s="1"/>
  <c r="Z66" i="3"/>
  <c r="N66" i="3" s="1"/>
  <c r="R66" i="3"/>
  <c r="M66" i="3"/>
  <c r="G66" i="3"/>
  <c r="J66" i="3" s="1"/>
  <c r="Z65" i="3"/>
  <c r="N65" i="3" s="1"/>
  <c r="P65" i="3" s="1"/>
  <c r="E58" i="4" s="1"/>
  <c r="R65" i="3"/>
  <c r="F58" i="4" s="1"/>
  <c r="M65" i="3"/>
  <c r="J65" i="3"/>
  <c r="G65" i="3"/>
  <c r="R64" i="3"/>
  <c r="F57" i="4" s="1"/>
  <c r="P64" i="3"/>
  <c r="O64" i="3"/>
  <c r="M64" i="3"/>
  <c r="Z64" i="3" s="1"/>
  <c r="N64" i="3" s="1"/>
  <c r="G64" i="3"/>
  <c r="J64" i="3" s="1"/>
  <c r="R63" i="3"/>
  <c r="F56" i="4" s="1"/>
  <c r="M63" i="3"/>
  <c r="Z63" i="3" s="1"/>
  <c r="N63" i="3" s="1"/>
  <c r="G63" i="3"/>
  <c r="J63" i="3" s="1"/>
  <c r="R62" i="3"/>
  <c r="F55" i="4" s="1"/>
  <c r="J62" i="3"/>
  <c r="G62" i="3"/>
  <c r="R61" i="3"/>
  <c r="F54" i="4" s="1"/>
  <c r="J61" i="3"/>
  <c r="G61" i="3"/>
  <c r="R60" i="3"/>
  <c r="J60" i="3"/>
  <c r="G60" i="3"/>
  <c r="R59" i="3"/>
  <c r="G59" i="3"/>
  <c r="J59" i="3" s="1"/>
  <c r="Z58" i="3"/>
  <c r="R58" i="3"/>
  <c r="F51" i="4" s="1"/>
  <c r="Q58" i="3"/>
  <c r="S58" i="3" s="1"/>
  <c r="O58" i="3"/>
  <c r="N58" i="3"/>
  <c r="P58" i="3" s="1"/>
  <c r="E51" i="4" s="1"/>
  <c r="M58" i="3"/>
  <c r="G58" i="3"/>
  <c r="J58" i="3" s="1"/>
  <c r="R57" i="3"/>
  <c r="J57" i="3"/>
  <c r="G57" i="3"/>
  <c r="R56" i="3"/>
  <c r="F49" i="4" s="1"/>
  <c r="P56" i="3"/>
  <c r="Q56" i="3" s="1"/>
  <c r="S56" i="3" s="1"/>
  <c r="G49" i="4" s="1"/>
  <c r="M56" i="3"/>
  <c r="Z56" i="3" s="1"/>
  <c r="N56" i="3" s="1"/>
  <c r="O56" i="3" s="1"/>
  <c r="G56" i="3"/>
  <c r="J56" i="3" s="1"/>
  <c r="Z55" i="3"/>
  <c r="N55" i="3" s="1"/>
  <c r="R55" i="3"/>
  <c r="M55" i="3"/>
  <c r="G55" i="3"/>
  <c r="J55" i="3" s="1"/>
  <c r="R54" i="3"/>
  <c r="J54" i="3"/>
  <c r="G54" i="3"/>
  <c r="R53" i="3"/>
  <c r="G53" i="3"/>
  <c r="J53" i="3" s="1"/>
  <c r="R52" i="3"/>
  <c r="G52" i="3"/>
  <c r="J52" i="3" s="1"/>
  <c r="R51" i="3"/>
  <c r="M51" i="3"/>
  <c r="Z51" i="3" s="1"/>
  <c r="N51" i="3" s="1"/>
  <c r="J51" i="3"/>
  <c r="G51" i="3"/>
  <c r="R50" i="3"/>
  <c r="G50" i="3"/>
  <c r="J50" i="3" s="1"/>
  <c r="R49" i="3"/>
  <c r="F42" i="4" s="1"/>
  <c r="J49" i="3"/>
  <c r="G49" i="3"/>
  <c r="R48" i="3"/>
  <c r="F41" i="4" s="1"/>
  <c r="G48" i="3"/>
  <c r="J48" i="3" s="1"/>
  <c r="R47" i="3"/>
  <c r="M47" i="3"/>
  <c r="Z47" i="3" s="1"/>
  <c r="N47" i="3" s="1"/>
  <c r="G47" i="3"/>
  <c r="J47" i="3" s="1"/>
  <c r="R46" i="3"/>
  <c r="N46" i="3"/>
  <c r="P46" i="3" s="1"/>
  <c r="Q46" i="3" s="1"/>
  <c r="S46" i="3" s="1"/>
  <c r="M46" i="3"/>
  <c r="Z46" i="3" s="1"/>
  <c r="J46" i="3"/>
  <c r="G46" i="3"/>
  <c r="R45" i="3"/>
  <c r="P45" i="3"/>
  <c r="Q45" i="3" s="1"/>
  <c r="S45" i="3" s="1"/>
  <c r="O45" i="3"/>
  <c r="N45" i="3"/>
  <c r="M45" i="3"/>
  <c r="Z45" i="3" s="1"/>
  <c r="J45" i="3"/>
  <c r="G45" i="3"/>
  <c r="R44" i="3"/>
  <c r="M44" i="3"/>
  <c r="Z44" i="3" s="1"/>
  <c r="N44" i="3" s="1"/>
  <c r="J44" i="3"/>
  <c r="G44" i="3"/>
  <c r="Z43" i="3"/>
  <c r="N43" i="3" s="1"/>
  <c r="R43" i="3"/>
  <c r="M43" i="3"/>
  <c r="J43" i="3"/>
  <c r="G43" i="3"/>
  <c r="Z42" i="3"/>
  <c r="N42" i="3" s="1"/>
  <c r="R42" i="3"/>
  <c r="M42" i="3"/>
  <c r="G42" i="3"/>
  <c r="J42" i="3" s="1"/>
  <c r="R41" i="3"/>
  <c r="M41" i="3"/>
  <c r="Z41" i="3" s="1"/>
  <c r="N41" i="3" s="1"/>
  <c r="J41" i="3"/>
  <c r="G41" i="3"/>
  <c r="R40" i="3"/>
  <c r="F33" i="4" s="1"/>
  <c r="M40" i="3"/>
  <c r="Z40" i="3" s="1"/>
  <c r="N40" i="3" s="1"/>
  <c r="P40" i="3" s="1"/>
  <c r="G40" i="3"/>
  <c r="J40" i="3" s="1"/>
  <c r="Z39" i="3"/>
  <c r="N39" i="3" s="1"/>
  <c r="R39" i="3"/>
  <c r="F32" i="4" s="1"/>
  <c r="M39" i="3"/>
  <c r="G39" i="3"/>
  <c r="J39" i="3" s="1"/>
  <c r="R38" i="3"/>
  <c r="M38" i="3"/>
  <c r="Z38" i="3" s="1"/>
  <c r="N38" i="3" s="1"/>
  <c r="J38" i="3"/>
  <c r="G38" i="3"/>
  <c r="R37" i="3"/>
  <c r="M37" i="3"/>
  <c r="Z37" i="3" s="1"/>
  <c r="N37" i="3" s="1"/>
  <c r="J37" i="3"/>
  <c r="G37" i="3"/>
  <c r="Z36" i="3"/>
  <c r="N36" i="3" s="1"/>
  <c r="R36" i="3"/>
  <c r="M36" i="3"/>
  <c r="G36" i="3"/>
  <c r="J36" i="3" s="1"/>
  <c r="R35" i="3"/>
  <c r="M35" i="3"/>
  <c r="Z35" i="3" s="1"/>
  <c r="N35" i="3" s="1"/>
  <c r="O35" i="3" s="1"/>
  <c r="J35" i="3"/>
  <c r="G35" i="3"/>
  <c r="Z34" i="3"/>
  <c r="R34" i="3"/>
  <c r="O34" i="3"/>
  <c r="N34" i="3"/>
  <c r="P34" i="3" s="1"/>
  <c r="M34" i="3"/>
  <c r="G34" i="3"/>
  <c r="J34" i="3" s="1"/>
  <c r="Z33" i="3"/>
  <c r="N33" i="3" s="1"/>
  <c r="R33" i="3"/>
  <c r="F26" i="4" s="1"/>
  <c r="M33" i="3"/>
  <c r="J33" i="3"/>
  <c r="G33" i="3"/>
  <c r="R32" i="3"/>
  <c r="F25" i="4" s="1"/>
  <c r="M32" i="3"/>
  <c r="Z32" i="3" s="1"/>
  <c r="N32" i="3" s="1"/>
  <c r="P32" i="3" s="1"/>
  <c r="G32" i="3"/>
  <c r="J32" i="3" s="1"/>
  <c r="R31" i="3"/>
  <c r="F24" i="4" s="1"/>
  <c r="M31" i="3"/>
  <c r="Z31" i="3" s="1"/>
  <c r="N31" i="3" s="1"/>
  <c r="O31" i="3" s="1"/>
  <c r="G31" i="3"/>
  <c r="J31" i="3" s="1"/>
  <c r="R30" i="3"/>
  <c r="M30" i="3"/>
  <c r="Z30" i="3" s="1"/>
  <c r="N30" i="3" s="1"/>
  <c r="G30" i="3"/>
  <c r="J30" i="3" s="1"/>
  <c r="R29" i="3"/>
  <c r="F22" i="4" s="1"/>
  <c r="N29" i="3"/>
  <c r="P29" i="3" s="1"/>
  <c r="M29" i="3"/>
  <c r="Z29" i="3" s="1"/>
  <c r="G29" i="3"/>
  <c r="J29" i="3" s="1"/>
  <c r="Z28" i="3"/>
  <c r="N28" i="3" s="1"/>
  <c r="R28" i="3"/>
  <c r="F21" i="4" s="1"/>
  <c r="M28" i="3"/>
  <c r="G28" i="3"/>
  <c r="J28" i="3" s="1"/>
  <c r="R27" i="3"/>
  <c r="M27" i="3"/>
  <c r="Z27" i="3" s="1"/>
  <c r="N27" i="3" s="1"/>
  <c r="J27" i="3"/>
  <c r="G27" i="3"/>
  <c r="Z26" i="3"/>
  <c r="R26" i="3"/>
  <c r="F19" i="4" s="1"/>
  <c r="N26" i="3"/>
  <c r="P26" i="3" s="1"/>
  <c r="M26" i="3"/>
  <c r="G26" i="3"/>
  <c r="J26" i="3" s="1"/>
  <c r="Z25" i="3"/>
  <c r="N25" i="3" s="1"/>
  <c r="R25" i="3"/>
  <c r="F18" i="4" s="1"/>
  <c r="M25" i="3"/>
  <c r="J25" i="3"/>
  <c r="G25" i="3"/>
  <c r="R24" i="3"/>
  <c r="F17" i="4" s="1"/>
  <c r="M24" i="3"/>
  <c r="Z24" i="3" s="1"/>
  <c r="N24" i="3" s="1"/>
  <c r="P24" i="3" s="1"/>
  <c r="G24" i="3"/>
  <c r="J24" i="3" s="1"/>
  <c r="R23" i="3"/>
  <c r="M23" i="3"/>
  <c r="Z23" i="3" s="1"/>
  <c r="N23" i="3" s="1"/>
  <c r="G23" i="3"/>
  <c r="J23" i="3" s="1"/>
  <c r="R22" i="3"/>
  <c r="M22" i="3"/>
  <c r="Z22" i="3" s="1"/>
  <c r="N22" i="3" s="1"/>
  <c r="J22" i="3"/>
  <c r="G22" i="3"/>
  <c r="R21" i="3"/>
  <c r="M21" i="3"/>
  <c r="Z21" i="3" s="1"/>
  <c r="N21" i="3" s="1"/>
  <c r="G21" i="3"/>
  <c r="J21" i="3" s="1"/>
  <c r="Z20" i="3"/>
  <c r="N20" i="3" s="1"/>
  <c r="O20" i="3" s="1"/>
  <c r="R20" i="3"/>
  <c r="P20" i="3"/>
  <c r="M20" i="3"/>
  <c r="G20" i="3"/>
  <c r="J20" i="3" s="1"/>
  <c r="R19" i="3"/>
  <c r="M19" i="3"/>
  <c r="Z19" i="3" s="1"/>
  <c r="N19" i="3" s="1"/>
  <c r="J19" i="3"/>
  <c r="G19" i="3"/>
  <c r="Z18" i="3"/>
  <c r="R18" i="3"/>
  <c r="N18" i="3"/>
  <c r="M18" i="3"/>
  <c r="G18" i="3"/>
  <c r="J18" i="3" s="1"/>
  <c r="Z17" i="3"/>
  <c r="N17" i="3" s="1"/>
  <c r="R17" i="3"/>
  <c r="F10" i="4" s="1"/>
  <c r="M17" i="3"/>
  <c r="J17" i="3"/>
  <c r="G17" i="3"/>
  <c r="Z16" i="3"/>
  <c r="N16" i="3" s="1"/>
  <c r="O16" i="3" s="1"/>
  <c r="R16" i="3"/>
  <c r="F9" i="4" s="1"/>
  <c r="M16" i="3"/>
  <c r="G16" i="3"/>
  <c r="J16" i="3" s="1"/>
  <c r="Z15" i="3"/>
  <c r="N15" i="3" s="1"/>
  <c r="R15" i="3"/>
  <c r="M15" i="3"/>
  <c r="G15" i="3"/>
  <c r="J15" i="3" s="1"/>
  <c r="R14" i="3"/>
  <c r="M14" i="3"/>
  <c r="Z14" i="3" s="1"/>
  <c r="N14" i="3" s="1"/>
  <c r="J14" i="3"/>
  <c r="G14" i="3"/>
  <c r="R13" i="3"/>
  <c r="F6" i="4" s="1"/>
  <c r="M13" i="3"/>
  <c r="Z13" i="3" s="1"/>
  <c r="N13" i="3" s="1"/>
  <c r="G13" i="3"/>
  <c r="J13" i="3" s="1"/>
  <c r="Z12" i="3"/>
  <c r="N12" i="3" s="1"/>
  <c r="R12" i="3"/>
  <c r="F5" i="4" s="1"/>
  <c r="M12" i="3"/>
  <c r="G12" i="3"/>
  <c r="J12" i="3" s="1"/>
  <c r="U11" i="3"/>
  <c r="V11" i="3" s="1"/>
  <c r="W11" i="3" s="1"/>
  <c r="S11" i="3"/>
  <c r="R11" i="3"/>
  <c r="T11" i="3" s="1"/>
  <c r="Q11" i="3"/>
  <c r="P11" i="3"/>
  <c r="O11" i="3"/>
  <c r="G11" i="3"/>
  <c r="J11" i="3" s="1"/>
  <c r="S10" i="3"/>
  <c r="R10" i="3"/>
  <c r="Q10" i="3"/>
  <c r="P10" i="3"/>
  <c r="O10" i="3"/>
  <c r="N10" i="3"/>
  <c r="M54" i="3" s="1"/>
  <c r="Z54" i="3" s="1"/>
  <c r="B8" i="3"/>
  <c r="E3" i="3"/>
  <c r="P38" i="3" l="1"/>
  <c r="O38" i="3"/>
  <c r="O19" i="3"/>
  <c r="P19" i="3"/>
  <c r="U20" i="3"/>
  <c r="V20" i="3" s="1"/>
  <c r="W20" i="3" s="1"/>
  <c r="I13" i="4" s="1"/>
  <c r="P23" i="3"/>
  <c r="O23" i="3"/>
  <c r="P14" i="3"/>
  <c r="O14" i="3"/>
  <c r="E57" i="4"/>
  <c r="Q64" i="3"/>
  <c r="S64" i="3" s="1"/>
  <c r="P25" i="3"/>
  <c r="O25" i="3"/>
  <c r="F64" i="4"/>
  <c r="P74" i="3"/>
  <c r="O74" i="3"/>
  <c r="U45" i="3"/>
  <c r="V45" i="3" s="1"/>
  <c r="W45" i="3" s="1"/>
  <c r="T45" i="3"/>
  <c r="M50" i="3"/>
  <c r="Z50" i="3" s="1"/>
  <c r="E19" i="4"/>
  <c r="Q26" i="3"/>
  <c r="S26" i="3" s="1"/>
  <c r="U68" i="3"/>
  <c r="V68" i="3" s="1"/>
  <c r="W68" i="3" s="1"/>
  <c r="I61" i="4" s="1"/>
  <c r="T68" i="3"/>
  <c r="H61" i="4" s="1"/>
  <c r="F61" i="4"/>
  <c r="P71" i="3"/>
  <c r="O71" i="3"/>
  <c r="O75" i="3"/>
  <c r="P75" i="3"/>
  <c r="O67" i="3"/>
  <c r="P67" i="3"/>
  <c r="F8" i="4"/>
  <c r="P21" i="3"/>
  <c r="O21" i="3"/>
  <c r="Q24" i="3"/>
  <c r="S24" i="3" s="1"/>
  <c r="E17" i="4"/>
  <c r="P30" i="3"/>
  <c r="O30" i="3"/>
  <c r="P33" i="3"/>
  <c r="O33" i="3"/>
  <c r="P39" i="3"/>
  <c r="O39" i="3"/>
  <c r="E65" i="4"/>
  <c r="Q72" i="3"/>
  <c r="S72" i="3" s="1"/>
  <c r="G65" i="4" s="1"/>
  <c r="P70" i="3"/>
  <c r="O70" i="3"/>
  <c r="P17" i="3"/>
  <c r="O17" i="3"/>
  <c r="P15" i="3"/>
  <c r="O15" i="3"/>
  <c r="O27" i="3"/>
  <c r="P27" i="3"/>
  <c r="Q40" i="3"/>
  <c r="S40" i="3" s="1"/>
  <c r="G33" i="4" s="1"/>
  <c r="E33" i="4"/>
  <c r="O43" i="3"/>
  <c r="P43" i="3"/>
  <c r="Q43" i="3" s="1"/>
  <c r="S43" i="3" s="1"/>
  <c r="U43" i="3" s="1"/>
  <c r="V43" i="3" s="1"/>
  <c r="W43" i="3" s="1"/>
  <c r="P76" i="3"/>
  <c r="O76" i="3"/>
  <c r="O18" i="3"/>
  <c r="P18" i="3"/>
  <c r="F48" i="4"/>
  <c r="Q20" i="3"/>
  <c r="S20" i="3" s="1"/>
  <c r="G13" i="4" s="1"/>
  <c r="E13" i="4"/>
  <c r="P42" i="3"/>
  <c r="Q42" i="3" s="1"/>
  <c r="S42" i="3" s="1"/>
  <c r="O42" i="3"/>
  <c r="P13" i="3"/>
  <c r="O13" i="3"/>
  <c r="P36" i="3"/>
  <c r="O36" i="3"/>
  <c r="E27" i="4"/>
  <c r="Q34" i="3"/>
  <c r="S34" i="3" s="1"/>
  <c r="U69" i="3"/>
  <c r="V69" i="3" s="1"/>
  <c r="W69" i="3" s="1"/>
  <c r="I62" i="4" s="1"/>
  <c r="T69" i="3"/>
  <c r="H62" i="4" s="1"/>
  <c r="G62" i="4"/>
  <c r="E25" i="4"/>
  <c r="Q32" i="3"/>
  <c r="S32" i="3" s="1"/>
  <c r="F13" i="4"/>
  <c r="T20" i="3"/>
  <c r="H13" i="4" s="1"/>
  <c r="P31" i="3"/>
  <c r="P44" i="3"/>
  <c r="Q44" i="3" s="1"/>
  <c r="S44" i="3" s="1"/>
  <c r="U44" i="3" s="1"/>
  <c r="V44" i="3" s="1"/>
  <c r="W44" i="3" s="1"/>
  <c r="O44" i="3"/>
  <c r="O51" i="3"/>
  <c r="P51" i="3"/>
  <c r="P55" i="3"/>
  <c r="O55" i="3"/>
  <c r="E22" i="4"/>
  <c r="Q29" i="3"/>
  <c r="S29" i="3" s="1"/>
  <c r="P37" i="3"/>
  <c r="O37" i="3"/>
  <c r="P41" i="3"/>
  <c r="Q41" i="3" s="1"/>
  <c r="S41" i="3" s="1"/>
  <c r="O41" i="3"/>
  <c r="P47" i="3"/>
  <c r="Q47" i="3" s="1"/>
  <c r="S47" i="3" s="1"/>
  <c r="O47" i="3"/>
  <c r="P63" i="3"/>
  <c r="O63" i="3"/>
  <c r="P77" i="3"/>
  <c r="O77" i="3"/>
  <c r="E61" i="4"/>
  <c r="P28" i="3"/>
  <c r="O28" i="3"/>
  <c r="P35" i="3"/>
  <c r="O12" i="3"/>
  <c r="P12" i="3"/>
  <c r="G51" i="4"/>
  <c r="U58" i="3"/>
  <c r="V58" i="3" s="1"/>
  <c r="W58" i="3" s="1"/>
  <c r="I51" i="4" s="1"/>
  <c r="T58" i="3"/>
  <c r="H51" i="4" s="1"/>
  <c r="P22" i="3"/>
  <c r="O22" i="3"/>
  <c r="U41" i="3"/>
  <c r="V41" i="3" s="1"/>
  <c r="W41" i="3" s="1"/>
  <c r="U47" i="3"/>
  <c r="V47" i="3" s="1"/>
  <c r="W47" i="3" s="1"/>
  <c r="P66" i="3"/>
  <c r="O66" i="3"/>
  <c r="U24" i="3"/>
  <c r="V24" i="3" s="1"/>
  <c r="W24" i="3" s="1"/>
  <c r="I17" i="4" s="1"/>
  <c r="M57" i="3"/>
  <c r="Z57" i="3" s="1"/>
  <c r="N57" i="3" s="1"/>
  <c r="F31" i="4"/>
  <c r="M60" i="3"/>
  <c r="Z60" i="3" s="1"/>
  <c r="M78" i="3"/>
  <c r="Z78" i="3" s="1"/>
  <c r="E62" i="4"/>
  <c r="O26" i="3"/>
  <c r="F47" i="4"/>
  <c r="F63" i="4"/>
  <c r="O40" i="3"/>
  <c r="T41" i="3"/>
  <c r="M53" i="3"/>
  <c r="Z53" i="3" s="1"/>
  <c r="U64" i="3"/>
  <c r="V64" i="3" s="1"/>
  <c r="W64" i="3" s="1"/>
  <c r="I57" i="4" s="1"/>
  <c r="T44" i="3"/>
  <c r="O72" i="3"/>
  <c r="F50" i="4"/>
  <c r="F15" i="4"/>
  <c r="T47" i="3"/>
  <c r="M59" i="3"/>
  <c r="Z59" i="3" s="1"/>
  <c r="M62" i="3"/>
  <c r="Z62" i="3" s="1"/>
  <c r="P73" i="3"/>
  <c r="O73" i="3"/>
  <c r="F71" i="4"/>
  <c r="F53" i="4"/>
  <c r="O29" i="3"/>
  <c r="P16" i="3"/>
  <c r="M49" i="3"/>
  <c r="Z49" i="3" s="1"/>
  <c r="M11" i="3"/>
  <c r="Z11" i="3" s="1"/>
  <c r="O32" i="3"/>
  <c r="T40" i="3"/>
  <c r="H33" i="4" s="1"/>
  <c r="O46" i="3"/>
  <c r="O24" i="3"/>
  <c r="U40" i="3"/>
  <c r="V40" i="3" s="1"/>
  <c r="W40" i="3" s="1"/>
  <c r="I33" i="4" s="1"/>
  <c r="M52" i="3"/>
  <c r="Z52" i="3" s="1"/>
  <c r="T56" i="3"/>
  <c r="H49" i="4" s="1"/>
  <c r="O65" i="3"/>
  <c r="T72" i="3"/>
  <c r="H65" i="4" s="1"/>
  <c r="F20" i="4"/>
  <c r="U56" i="3"/>
  <c r="V56" i="3" s="1"/>
  <c r="W56" i="3" s="1"/>
  <c r="I49" i="4" s="1"/>
  <c r="Q65" i="3"/>
  <c r="S65" i="3" s="1"/>
  <c r="U72" i="3"/>
  <c r="V72" i="3" s="1"/>
  <c r="W72" i="3" s="1"/>
  <c r="I65" i="4" s="1"/>
  <c r="F7" i="4"/>
  <c r="F29" i="4"/>
  <c r="U46" i="3"/>
  <c r="V46" i="3" s="1"/>
  <c r="W46" i="3" s="1"/>
  <c r="T46" i="3"/>
  <c r="M48" i="3"/>
  <c r="Z48" i="3" s="1"/>
  <c r="N54" i="3" s="1"/>
  <c r="F45" i="4"/>
  <c r="M61" i="3"/>
  <c r="Z61" i="3" s="1"/>
  <c r="M79" i="3"/>
  <c r="Z79" i="3" s="1"/>
  <c r="P54" i="3" l="1"/>
  <c r="Q71" i="3"/>
  <c r="S71" i="3" s="1"/>
  <c r="E64" i="4"/>
  <c r="E66" i="4"/>
  <c r="Q73" i="3"/>
  <c r="S73" i="3" s="1"/>
  <c r="G57" i="4"/>
  <c r="T64" i="3"/>
  <c r="H57" i="4" s="1"/>
  <c r="G22" i="4"/>
  <c r="U29" i="3"/>
  <c r="V29" i="3" s="1"/>
  <c r="W29" i="3" s="1"/>
  <c r="I22" i="4" s="1"/>
  <c r="T29" i="3"/>
  <c r="H22" i="4" s="1"/>
  <c r="Q76" i="3"/>
  <c r="S76" i="3" s="1"/>
  <c r="E69" i="4"/>
  <c r="E26" i="4"/>
  <c r="Q33" i="3"/>
  <c r="S33" i="3" s="1"/>
  <c r="G27" i="4"/>
  <c r="T34" i="3"/>
  <c r="H27" i="4" s="1"/>
  <c r="U34" i="3"/>
  <c r="V34" i="3" s="1"/>
  <c r="W34" i="3" s="1"/>
  <c r="I27" i="4" s="1"/>
  <c r="P57" i="3"/>
  <c r="Q28" i="3"/>
  <c r="S28" i="3" s="1"/>
  <c r="E21" i="4"/>
  <c r="Q66" i="3"/>
  <c r="S66" i="3" s="1"/>
  <c r="E59" i="4"/>
  <c r="E6" i="4"/>
  <c r="Q13" i="3"/>
  <c r="S13" i="3" s="1"/>
  <c r="E23" i="4"/>
  <c r="Q30" i="3"/>
  <c r="S30" i="3" s="1"/>
  <c r="U26" i="3"/>
  <c r="V26" i="3" s="1"/>
  <c r="W26" i="3" s="1"/>
  <c r="I19" i="4" s="1"/>
  <c r="T26" i="3"/>
  <c r="H19" i="4" s="1"/>
  <c r="G19" i="4"/>
  <c r="E7" i="4"/>
  <c r="Q14" i="3"/>
  <c r="S14" i="3" s="1"/>
  <c r="N61" i="3"/>
  <c r="E20" i="4"/>
  <c r="Q27" i="3"/>
  <c r="S27" i="3" s="1"/>
  <c r="G58" i="4"/>
  <c r="T65" i="3"/>
  <c r="H58" i="4" s="1"/>
  <c r="U65" i="3"/>
  <c r="V65" i="3" s="1"/>
  <c r="W65" i="3" s="1"/>
  <c r="I58" i="4" s="1"/>
  <c r="E28" i="4"/>
  <c r="Q35" i="3"/>
  <c r="S35" i="3" s="1"/>
  <c r="E32" i="4"/>
  <c r="Q39" i="3"/>
  <c r="S39" i="3" s="1"/>
  <c r="Q55" i="3"/>
  <c r="S55" i="3" s="1"/>
  <c r="E48" i="4"/>
  <c r="U42" i="3"/>
  <c r="V42" i="3" s="1"/>
  <c r="W42" i="3" s="1"/>
  <c r="T42" i="3"/>
  <c r="G17" i="4"/>
  <c r="T24" i="3"/>
  <c r="H17" i="4" s="1"/>
  <c r="N50" i="3"/>
  <c r="E16" i="4"/>
  <c r="Q23" i="3"/>
  <c r="S23" i="3" s="1"/>
  <c r="N78" i="3"/>
  <c r="N53" i="3"/>
  <c r="E24" i="4"/>
  <c r="Q31" i="3"/>
  <c r="S31" i="3" s="1"/>
  <c r="E15" i="4"/>
  <c r="Q22" i="3"/>
  <c r="S22" i="3" s="1"/>
  <c r="E8" i="4"/>
  <c r="Q15" i="3"/>
  <c r="S15" i="3" s="1"/>
  <c r="Q21" i="3"/>
  <c r="S21" i="3" s="1"/>
  <c r="E14" i="4"/>
  <c r="Q12" i="3"/>
  <c r="S12" i="3" s="1"/>
  <c r="E5" i="4"/>
  <c r="N49" i="3"/>
  <c r="Q16" i="3"/>
  <c r="S16" i="3" s="1"/>
  <c r="E9" i="4"/>
  <c r="N62" i="3"/>
  <c r="E44" i="4"/>
  <c r="Q51" i="3"/>
  <c r="S51" i="3" s="1"/>
  <c r="N60" i="3"/>
  <c r="G25" i="4"/>
  <c r="T32" i="3"/>
  <c r="H25" i="4" s="1"/>
  <c r="U32" i="3"/>
  <c r="V32" i="3" s="1"/>
  <c r="W32" i="3" s="1"/>
  <c r="I25" i="4" s="1"/>
  <c r="E10" i="4"/>
  <c r="Q17" i="3"/>
  <c r="S17" i="3" s="1"/>
  <c r="E12" i="4"/>
  <c r="Q19" i="3"/>
  <c r="S19" i="3" s="1"/>
  <c r="N48" i="3"/>
  <c r="E60" i="4"/>
  <c r="Q67" i="3"/>
  <c r="S67" i="3" s="1"/>
  <c r="Q74" i="3"/>
  <c r="S74" i="3" s="1"/>
  <c r="E67" i="4"/>
  <c r="N79" i="3"/>
  <c r="Q36" i="3"/>
  <c r="S36" i="3" s="1"/>
  <c r="E29" i="4"/>
  <c r="E18" i="4"/>
  <c r="Q25" i="3"/>
  <c r="S25" i="3" s="1"/>
  <c r="N59" i="3"/>
  <c r="E70" i="4"/>
  <c r="Q77" i="3"/>
  <c r="S77" i="3" s="1"/>
  <c r="E56" i="4"/>
  <c r="Q63" i="3"/>
  <c r="S63" i="3" s="1"/>
  <c r="N52" i="3"/>
  <c r="E11" i="4"/>
  <c r="Q18" i="3"/>
  <c r="S18" i="3" s="1"/>
  <c r="E63" i="4"/>
  <c r="Q70" i="3"/>
  <c r="S70" i="3" s="1"/>
  <c r="T43" i="3"/>
  <c r="Q37" i="3"/>
  <c r="S37" i="3" s="1"/>
  <c r="E30" i="4"/>
  <c r="E68" i="4"/>
  <c r="Q75" i="3"/>
  <c r="S75" i="3" s="1"/>
  <c r="E31" i="4"/>
  <c r="Q38" i="3"/>
  <c r="S38" i="3" s="1"/>
  <c r="T18" i="3" l="1"/>
  <c r="H11" i="4" s="1"/>
  <c r="G11" i="4"/>
  <c r="U18" i="3"/>
  <c r="V18" i="3" s="1"/>
  <c r="W18" i="3" s="1"/>
  <c r="I11" i="4" s="1"/>
  <c r="G70" i="4"/>
  <c r="U77" i="3"/>
  <c r="V77" i="3" s="1"/>
  <c r="W77" i="3" s="1"/>
  <c r="I70" i="4" s="1"/>
  <c r="T77" i="3"/>
  <c r="H70" i="4" s="1"/>
  <c r="T21" i="3"/>
  <c r="H14" i="4" s="1"/>
  <c r="G14" i="4"/>
  <c r="U21" i="3"/>
  <c r="V21" i="3" s="1"/>
  <c r="W21" i="3" s="1"/>
  <c r="I14" i="4" s="1"/>
  <c r="G5" i="4"/>
  <c r="U12" i="3"/>
  <c r="V12" i="3" s="1"/>
  <c r="W12" i="3" s="1"/>
  <c r="I5" i="4" s="1"/>
  <c r="T12" i="3"/>
  <c r="H5" i="4" s="1"/>
  <c r="O59" i="3"/>
  <c r="P59" i="3"/>
  <c r="P52" i="3"/>
  <c r="O52" i="3"/>
  <c r="G12" i="4"/>
  <c r="T19" i="3"/>
  <c r="H12" i="4" s="1"/>
  <c r="U19" i="3"/>
  <c r="V19" i="3" s="1"/>
  <c r="W19" i="3" s="1"/>
  <c r="I12" i="4" s="1"/>
  <c r="G6" i="4"/>
  <c r="U13" i="3"/>
  <c r="V13" i="3" s="1"/>
  <c r="W13" i="3" s="1"/>
  <c r="I6" i="4" s="1"/>
  <c r="T13" i="3"/>
  <c r="H6" i="4" s="1"/>
  <c r="O48" i="3"/>
  <c r="P48" i="3"/>
  <c r="G10" i="4"/>
  <c r="U17" i="3"/>
  <c r="V17" i="3" s="1"/>
  <c r="W17" i="3" s="1"/>
  <c r="I10" i="4" s="1"/>
  <c r="T17" i="3"/>
  <c r="H10" i="4" s="1"/>
  <c r="U39" i="3"/>
  <c r="V39" i="3" s="1"/>
  <c r="W39" i="3" s="1"/>
  <c r="I32" i="4" s="1"/>
  <c r="G32" i="4"/>
  <c r="T39" i="3"/>
  <c r="H32" i="4" s="1"/>
  <c r="G24" i="4"/>
  <c r="U31" i="3"/>
  <c r="V31" i="3" s="1"/>
  <c r="W31" i="3" s="1"/>
  <c r="I24" i="4" s="1"/>
  <c r="T31" i="3"/>
  <c r="H24" i="4" s="1"/>
  <c r="P60" i="3"/>
  <c r="O60" i="3"/>
  <c r="U66" i="3"/>
  <c r="V66" i="3" s="1"/>
  <c r="W66" i="3" s="1"/>
  <c r="I59" i="4" s="1"/>
  <c r="T66" i="3"/>
  <c r="H59" i="4" s="1"/>
  <c r="G59" i="4"/>
  <c r="U51" i="3"/>
  <c r="V51" i="3" s="1"/>
  <c r="W51" i="3" s="1"/>
  <c r="I44" i="4" s="1"/>
  <c r="G44" i="4"/>
  <c r="T51" i="3"/>
  <c r="H44" i="4" s="1"/>
  <c r="P53" i="3"/>
  <c r="O53" i="3"/>
  <c r="G66" i="4"/>
  <c r="U73" i="3"/>
  <c r="V73" i="3" s="1"/>
  <c r="W73" i="3" s="1"/>
  <c r="I66" i="4" s="1"/>
  <c r="T73" i="3"/>
  <c r="H66" i="4" s="1"/>
  <c r="G31" i="4"/>
  <c r="U38" i="3"/>
  <c r="V38" i="3" s="1"/>
  <c r="W38" i="3" s="1"/>
  <c r="I31" i="4" s="1"/>
  <c r="T38" i="3"/>
  <c r="H31" i="4" s="1"/>
  <c r="G18" i="4"/>
  <c r="U25" i="3"/>
  <c r="V25" i="3" s="1"/>
  <c r="W25" i="3" s="1"/>
  <c r="I18" i="4" s="1"/>
  <c r="T25" i="3"/>
  <c r="H18" i="4" s="1"/>
  <c r="G29" i="4"/>
  <c r="U36" i="3"/>
  <c r="V36" i="3" s="1"/>
  <c r="W36" i="3" s="1"/>
  <c r="I29" i="4" s="1"/>
  <c r="T36" i="3"/>
  <c r="H29" i="4" s="1"/>
  <c r="P78" i="3"/>
  <c r="O78" i="3"/>
  <c r="G21" i="4"/>
  <c r="T28" i="3"/>
  <c r="H21" i="4" s="1"/>
  <c r="U28" i="3"/>
  <c r="V28" i="3" s="1"/>
  <c r="W28" i="3" s="1"/>
  <c r="I21" i="4" s="1"/>
  <c r="G48" i="4"/>
  <c r="U55" i="3"/>
  <c r="V55" i="3" s="1"/>
  <c r="W55" i="3" s="1"/>
  <c r="I48" i="4" s="1"/>
  <c r="T55" i="3"/>
  <c r="H48" i="4" s="1"/>
  <c r="U35" i="3"/>
  <c r="V35" i="3" s="1"/>
  <c r="W35" i="3" s="1"/>
  <c r="I28" i="4" s="1"/>
  <c r="G28" i="4"/>
  <c r="T35" i="3"/>
  <c r="H28" i="4" s="1"/>
  <c r="P79" i="3"/>
  <c r="O79" i="3"/>
  <c r="P62" i="3"/>
  <c r="O62" i="3"/>
  <c r="G16" i="4"/>
  <c r="U23" i="3"/>
  <c r="V23" i="3" s="1"/>
  <c r="W23" i="3" s="1"/>
  <c r="I16" i="4" s="1"/>
  <c r="T23" i="3"/>
  <c r="H16" i="4" s="1"/>
  <c r="G20" i="4"/>
  <c r="T27" i="3"/>
  <c r="H20" i="4" s="1"/>
  <c r="U27" i="3"/>
  <c r="V27" i="3" s="1"/>
  <c r="W27" i="3" s="1"/>
  <c r="I20" i="4" s="1"/>
  <c r="O57" i="3"/>
  <c r="G23" i="4"/>
  <c r="T30" i="3"/>
  <c r="H23" i="4" s="1"/>
  <c r="U30" i="3"/>
  <c r="V30" i="3" s="1"/>
  <c r="W30" i="3" s="1"/>
  <c r="I23" i="4" s="1"/>
  <c r="G15" i="4"/>
  <c r="U22" i="3"/>
  <c r="V22" i="3" s="1"/>
  <c r="W22" i="3" s="1"/>
  <c r="I15" i="4" s="1"/>
  <c r="T22" i="3"/>
  <c r="H15" i="4" s="1"/>
  <c r="G68" i="4"/>
  <c r="U75" i="3"/>
  <c r="V75" i="3" s="1"/>
  <c r="W75" i="3" s="1"/>
  <c r="I68" i="4" s="1"/>
  <c r="T75" i="3"/>
  <c r="H68" i="4" s="1"/>
  <c r="U37" i="3"/>
  <c r="V37" i="3" s="1"/>
  <c r="W37" i="3" s="1"/>
  <c r="I30" i="4" s="1"/>
  <c r="T37" i="3"/>
  <c r="H30" i="4" s="1"/>
  <c r="G30" i="4"/>
  <c r="E50" i="4"/>
  <c r="Q57" i="3"/>
  <c r="S57" i="3" s="1"/>
  <c r="G64" i="4"/>
  <c r="T71" i="3"/>
  <c r="H64" i="4" s="1"/>
  <c r="U71" i="3"/>
  <c r="V71" i="3" s="1"/>
  <c r="W71" i="3" s="1"/>
  <c r="I64" i="4" s="1"/>
  <c r="G26" i="4"/>
  <c r="T33" i="3"/>
  <c r="H26" i="4" s="1"/>
  <c r="U33" i="3"/>
  <c r="V33" i="3" s="1"/>
  <c r="W33" i="3" s="1"/>
  <c r="I26" i="4" s="1"/>
  <c r="G8" i="4"/>
  <c r="U15" i="3"/>
  <c r="V15" i="3" s="1"/>
  <c r="W15" i="3" s="1"/>
  <c r="I8" i="4" s="1"/>
  <c r="T15" i="3"/>
  <c r="H8" i="4" s="1"/>
  <c r="G63" i="4"/>
  <c r="U70" i="3"/>
  <c r="V70" i="3" s="1"/>
  <c r="W70" i="3" s="1"/>
  <c r="I63" i="4" s="1"/>
  <c r="T70" i="3"/>
  <c r="H63" i="4" s="1"/>
  <c r="T16" i="3"/>
  <c r="H9" i="4" s="1"/>
  <c r="G9" i="4"/>
  <c r="U16" i="3"/>
  <c r="V16" i="3" s="1"/>
  <c r="W16" i="3" s="1"/>
  <c r="I9" i="4" s="1"/>
  <c r="P50" i="3"/>
  <c r="O50" i="3"/>
  <c r="P61" i="3"/>
  <c r="O61" i="3"/>
  <c r="O54" i="3"/>
  <c r="G56" i="4"/>
  <c r="U63" i="3"/>
  <c r="V63" i="3" s="1"/>
  <c r="W63" i="3" s="1"/>
  <c r="I56" i="4" s="1"/>
  <c r="T63" i="3"/>
  <c r="H56" i="4" s="1"/>
  <c r="G69" i="4"/>
  <c r="U76" i="3"/>
  <c r="V76" i="3" s="1"/>
  <c r="W76" i="3" s="1"/>
  <c r="I69" i="4" s="1"/>
  <c r="T76" i="3"/>
  <c r="H69" i="4" s="1"/>
  <c r="G67" i="4"/>
  <c r="U74" i="3"/>
  <c r="V74" i="3" s="1"/>
  <c r="W74" i="3" s="1"/>
  <c r="I67" i="4" s="1"/>
  <c r="T74" i="3"/>
  <c r="H67" i="4" s="1"/>
  <c r="G60" i="4"/>
  <c r="U67" i="3"/>
  <c r="V67" i="3" s="1"/>
  <c r="W67" i="3" s="1"/>
  <c r="I60" i="4" s="1"/>
  <c r="T67" i="3"/>
  <c r="H60" i="4" s="1"/>
  <c r="P49" i="3"/>
  <c r="O49" i="3"/>
  <c r="G7" i="4"/>
  <c r="T14" i="3"/>
  <c r="H7" i="4" s="1"/>
  <c r="U14" i="3"/>
  <c r="V14" i="3" s="1"/>
  <c r="W14" i="3" s="1"/>
  <c r="I7" i="4" s="1"/>
  <c r="E47" i="4"/>
  <c r="Q54" i="3"/>
  <c r="S54" i="3" s="1"/>
  <c r="Q52" i="3" l="1"/>
  <c r="S52" i="3" s="1"/>
  <c r="E45" i="4"/>
  <c r="E52" i="4"/>
  <c r="Q59" i="3"/>
  <c r="S59" i="3" s="1"/>
  <c r="E46" i="4"/>
  <c r="Q53" i="3"/>
  <c r="S53" i="3" s="1"/>
  <c r="E54" i="4"/>
  <c r="Q61" i="3"/>
  <c r="S61" i="3" s="1"/>
  <c r="E43" i="4"/>
  <c r="Q50" i="3"/>
  <c r="S50" i="3" s="1"/>
  <c r="E71" i="4"/>
  <c r="Q78" i="3"/>
  <c r="S78" i="3" s="1"/>
  <c r="E41" i="4"/>
  <c r="Q48" i="3"/>
  <c r="S48" i="3" s="1"/>
  <c r="G50" i="4"/>
  <c r="U57" i="3"/>
  <c r="V57" i="3" s="1"/>
  <c r="W57" i="3" s="1"/>
  <c r="I50" i="4" s="1"/>
  <c r="T57" i="3"/>
  <c r="H50" i="4" s="1"/>
  <c r="Q62" i="3"/>
  <c r="S62" i="3" s="1"/>
  <c r="E55" i="4"/>
  <c r="E42" i="4"/>
  <c r="Q49" i="3"/>
  <c r="S49" i="3" s="1"/>
  <c r="E72" i="4"/>
  <c r="Q79" i="3"/>
  <c r="S79" i="3" s="1"/>
  <c r="G47" i="4"/>
  <c r="U54" i="3"/>
  <c r="V54" i="3" s="1"/>
  <c r="W54" i="3" s="1"/>
  <c r="I47" i="4" s="1"/>
  <c r="T54" i="3"/>
  <c r="H47" i="4" s="1"/>
  <c r="Q60" i="3"/>
  <c r="S60" i="3" s="1"/>
  <c r="E53" i="4"/>
  <c r="G71" i="4" l="1"/>
  <c r="T78" i="3"/>
  <c r="H71" i="4" s="1"/>
  <c r="U78" i="3"/>
  <c r="V78" i="3" s="1"/>
  <c r="W78" i="3" s="1"/>
  <c r="I71" i="4" s="1"/>
  <c r="G41" i="4"/>
  <c r="U48" i="3"/>
  <c r="V48" i="3" s="1"/>
  <c r="W48" i="3" s="1"/>
  <c r="I41" i="4" s="1"/>
  <c r="T48" i="3"/>
  <c r="H41" i="4" s="1"/>
  <c r="G53" i="4"/>
  <c r="U60" i="3"/>
  <c r="V60" i="3" s="1"/>
  <c r="W60" i="3" s="1"/>
  <c r="I53" i="4" s="1"/>
  <c r="T60" i="3"/>
  <c r="H53" i="4" s="1"/>
  <c r="G54" i="4"/>
  <c r="U61" i="3"/>
  <c r="V61" i="3" s="1"/>
  <c r="W61" i="3" s="1"/>
  <c r="I54" i="4" s="1"/>
  <c r="T61" i="3"/>
  <c r="H54" i="4" s="1"/>
  <c r="G52" i="4"/>
  <c r="U59" i="3"/>
  <c r="V59" i="3" s="1"/>
  <c r="W59" i="3" s="1"/>
  <c r="I52" i="4" s="1"/>
  <c r="T59" i="3"/>
  <c r="H52" i="4" s="1"/>
  <c r="G45" i="4"/>
  <c r="U52" i="3"/>
  <c r="V52" i="3" s="1"/>
  <c r="W52" i="3" s="1"/>
  <c r="I45" i="4" s="1"/>
  <c r="T52" i="3"/>
  <c r="H45" i="4" s="1"/>
  <c r="U50" i="3"/>
  <c r="V50" i="3" s="1"/>
  <c r="W50" i="3" s="1"/>
  <c r="I43" i="4" s="1"/>
  <c r="G43" i="4"/>
  <c r="T50" i="3"/>
  <c r="H43" i="4" s="1"/>
  <c r="G46" i="4"/>
  <c r="U53" i="3"/>
  <c r="V53" i="3" s="1"/>
  <c r="W53" i="3" s="1"/>
  <c r="I46" i="4" s="1"/>
  <c r="T53" i="3"/>
  <c r="H46" i="4" s="1"/>
  <c r="G72" i="4"/>
  <c r="U79" i="3"/>
  <c r="V79" i="3" s="1"/>
  <c r="W79" i="3" s="1"/>
  <c r="I72" i="4" s="1"/>
  <c r="T79" i="3"/>
  <c r="H72" i="4" s="1"/>
  <c r="G42" i="4"/>
  <c r="T49" i="3"/>
  <c r="H42" i="4" s="1"/>
  <c r="U49" i="3"/>
  <c r="V49" i="3" s="1"/>
  <c r="W49" i="3" s="1"/>
  <c r="I42" i="4" s="1"/>
  <c r="G55" i="4"/>
  <c r="U62" i="3"/>
  <c r="V62" i="3" s="1"/>
  <c r="W62" i="3" s="1"/>
  <c r="I55" i="4" s="1"/>
  <c r="T62" i="3"/>
  <c r="H55"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3" authorId="0" shapeId="0" xr:uid="{00000000-0006-0000-0200-000001000000}">
      <text>
        <r>
          <rPr>
            <sz val="10"/>
            <rFont val="Arial"/>
            <family val="2"/>
          </rPr>
          <t>Pesos determinados mediante AHP (Analytic Hierarchy Process, Saaty 1980): comparaciones por pares realizadas por la estudiante entre los 4 criterios (30-31-08-2026), priorizando disponibilidad/continuidad operacional sobre costo. Matriz de comparacion (metodo del autovector principal): lambda_max=4.246, CI=0.082, CR=0.091 (aceptable, umbral Saaty &lt;0.10). Reemplaza la ponderacion igualitaria inicial (0.25 cada criterio).</t>
        </r>
      </text>
    </comment>
    <comment ref="P9" authorId="0" shapeId="0" xr:uid="{00000000-0006-0000-0200-000022000000}">
      <text>
        <r>
          <rPr>
            <sz val="10"/>
            <rFont val="Arial"/>
            <family val="2"/>
          </rPr>
          <t>Metodo de clasificacion cambiado de '% acumulado del puntaje ponderado' a 'percentil de ranking' (20% superior=A, siguiente 30%=B, 50% restante=C), a solicitud de la estudiante (31-08-2026). Motivo: el metodo de % acumulado esta disenado para el ABC clasico, donde se acumula VALOR MONETARIO (naturalmente muy concentrado/sesgado en pocos items). Aqui se acumula un puntaje compuesto normalizado (min-max, acotado 0-1), que no tiene esa misma concentracion, por lo que el umbral 80%/95% dejaba demasiados insumos en Clase A (8 de 13 insumos reales, 62%). El metodo de percentil de ranking clasifica por posicion relativa en el listado ordenado, no por cuanto puntaje acumulado representan, y no depende de que tan dispersos esten los puntajes entre si. De paso se excluyo la fila de ejemplo (fila 11) del rango de ranking/conteo, ya que las Instrucciones indican que no debe usarse como dato real.</t>
        </r>
      </text>
    </comment>
    <comment ref="S9" authorId="0" shapeId="0" xr:uid="{00000000-0006-0000-0200-000026000000}">
      <text>
        <r>
          <rPr>
            <sz val="10"/>
            <rFont val="Arial"/>
            <family val="2"/>
          </rPr>
          <t>Ajuste 2 (asistente de tesis, 01-09-2026): ademas del redondeo hacia arriba, el Stock minimo ahora se redondea al multiplo mas cercano (hacia arriba) de la columna F (N de unidades por cambio de set), usando CEILING(valor, F) en vez de ROUNDUP(valor,0). Motivo: para insumos que se reponen en sets completos (ej. Inserto fresa SNHX 1206PH, sets de 4 unidades), no tiene sentido operativo que la alerta de stock minimo caiga en una cantidad como 1, 2 o 3 unidades, porque no se puede ejecutar un cambio de set con menos de un set completo disponible. Con este ajuste, la alerta se dispara siempre que el stock caiga por debajo de un multiplo exacto del tamano del set (4, 8, 12, etc.), asegurando que siempre quede al menos un set completo utilizable antes de la reposicion. Para insumos que se reponen de a 1 unidad (F=1), el resultado es identico al ROUNDUP anterior.</t>
        </r>
      </text>
    </comment>
    <comment ref="N10" authorId="0" shapeId="0" xr:uid="{00000000-0006-0000-0200-000020000000}">
      <text>
        <r>
          <rPr>
            <sz val="10"/>
            <rFont val="Arial"/>
            <family val="2"/>
          </rPr>
          <t>Esta fila (10) contiene parámetros internos de cálculo (mínimos/máximos usados para normalizar los criterios) — no es un título de columna ni un dato para editar. El título real de cada columna está en la fila 9.</t>
        </r>
      </text>
    </comment>
    <comment ref="O10" authorId="0" shapeId="0" xr:uid="{00000000-0006-0000-0200-000021000000}">
      <text>
        <r>
          <rPr>
            <sz val="10"/>
            <rFont val="Arial"/>
            <family val="2"/>
          </rPr>
          <t>Esta fila (10) contiene parámetros internos de cálculo (mínimos/máximos usados para normalizar los criterios) — no es un título de columna ni un dato para editar. El título real de cada columna está en la fila 9.</t>
        </r>
      </text>
    </comment>
    <comment ref="P10" authorId="0" shapeId="0" xr:uid="{00000000-0006-0000-0200-000023000000}">
      <text>
        <r>
          <rPr>
            <sz val="10"/>
            <rFont val="Arial"/>
            <family val="2"/>
          </rPr>
          <t>Esta fila (10) contiene parámetros internos de cálculo (mínimos/máximos usados para normalizar los criterios) — no es un título de columna ni un dato para editar. El título real de cada columna está en la fila 9.</t>
        </r>
      </text>
    </comment>
    <comment ref="Q10" authorId="0" shapeId="0" xr:uid="{00000000-0006-0000-0200-000024000000}">
      <text>
        <r>
          <rPr>
            <sz val="10"/>
            <rFont val="Arial"/>
            <family val="2"/>
          </rPr>
          <t>Esta fila (10) contiene parámetros internos de cálculo (mínimos/máximos usados para normalizar los criterios) — no es un título de columna ni un dato para editar. El título real de cada columna está en la fila 9.</t>
        </r>
      </text>
    </comment>
    <comment ref="R10" authorId="0" shapeId="0" xr:uid="{00000000-0006-0000-0200-000025000000}">
      <text>
        <r>
          <rPr>
            <sz val="10"/>
            <rFont val="Arial"/>
            <family val="2"/>
          </rPr>
          <t>Esta fila (10) contiene parámetros internos de cálculo (mínimos/máximos usados para normalizar los criterios) — no es un título de columna ni un dato para editar. El título real de cada columna está en la fila 9.</t>
        </r>
      </text>
    </comment>
    <comment ref="S10" authorId="0" shapeId="0" xr:uid="{00000000-0006-0000-0200-000027000000}">
      <text>
        <r>
          <rPr>
            <sz val="10"/>
            <rFont val="Arial"/>
            <family val="2"/>
          </rPr>
          <t>Esta fila (10) contiene parámetros internos de cálculo (mínimos/máximos usados para normalizar los criterios) — no es un título de columna ni un dato para editar. El título real de cada columna está en la fila 9.</t>
        </r>
      </text>
    </comment>
    <comment ref="E12" authorId="0" shapeId="0" xr:uid="{00000000-0006-0000-0200-000002000000}">
      <text>
        <r>
          <rPr>
            <sz val="10"/>
            <rFont val="Arial"/>
            <family val="2"/>
          </rPr>
          <t>Convertido desde USD: 7.2 USD x 865 CLP/USD (tipo de cambio indicado por la estudiante, 30-08-2026).
Origen: Inventario_Insumos_Metalografia_SIMET-USACH.xlsx, compra Trooly (Suzhou) Technology Co., Ltd, PO AQ001216, 25-02-2026.</t>
        </r>
      </text>
    </comment>
    <comment ref="E13" authorId="0" shapeId="0" xr:uid="{00000000-0006-0000-0200-000003000000}">
      <text>
        <r>
          <rPr>
            <sz val="10"/>
            <rFont val="Arial"/>
            <family val="2"/>
          </rPr>
          <t>Convertido desde USD: 7.2 USD x 865 CLP/USD (tipo de cambio indicado por la estudiante, 30-08-2026).
Origen: Inventario_Insumos_Metalografia_SIMET-USACH.xlsx, compra Trooly (Suzhou) Technology Co., Ltd, PO AQ001216, 25-02-2026.</t>
        </r>
      </text>
    </comment>
    <comment ref="E14" authorId="0" shapeId="0" xr:uid="{00000000-0006-0000-0200-000004000000}">
      <text>
        <r>
          <rPr>
            <sz val="10"/>
            <rFont val="Arial"/>
            <family val="2"/>
          </rPr>
          <t>Convertido desde USD: 8.2 USD x 865 CLP/USD (tipo de cambio indicado por la estudiante, 30-08-2026).
Origen: Inventario_Insumos_Metalografia_SIMET-USACH.xlsx, compra Trooly (Suzhou) Technology Co., Ltd, PO AQ001216, 25-02-2026.</t>
        </r>
      </text>
    </comment>
    <comment ref="E15" authorId="0" shapeId="0" xr:uid="{00000000-0006-0000-0200-000005000000}">
      <text>
        <r>
          <rPr>
            <sz val="10"/>
            <rFont val="Arial"/>
            <family val="2"/>
          </rPr>
          <t>Convertido desde USD: 0.18 USD x 865 CLP/USD (tipo de cambio indicado por la estudiante, 30-08-2026).
Origen: Inventario_Insumos_Metalografia_SIMET-USACH.xlsx, compra Trooly (Suzhou) Technology Co., Ltd, PO AQ001216, 25-02-2026.</t>
        </r>
      </text>
    </comment>
    <comment ref="E16" authorId="0" shapeId="0" xr:uid="{00000000-0006-0000-0200-000006000000}">
      <text>
        <r>
          <rPr>
            <sz val="10"/>
            <rFont val="Arial"/>
            <family val="2"/>
          </rPr>
          <t>Convertido desde USD: 0.18 USD x 865 CLP/USD (tipo de cambio indicado por la estudiante, 30-08-2026).
Origen: Inventario_Insumos_Metalografia_SIMET-USACH.xlsx, compra Trooly (Suzhou) Technology Co., Ltd, PO AQ001216, 25-02-2026.</t>
        </r>
      </text>
    </comment>
    <comment ref="E17" authorId="0" shapeId="0" xr:uid="{00000000-0006-0000-0200-000007000000}">
      <text>
        <r>
          <rPr>
            <sz val="10"/>
            <rFont val="Arial"/>
            <family val="2"/>
          </rPr>
          <t>Convertido desde USD: 0.18 USD x 865 CLP/USD (tipo de cambio indicado por la estudiante, 30-08-2026).
Origen: Inventario_Insumos_Metalografia_SIMET-USACH.xlsx, compra Trooly (Suzhou) Technology Co., Ltd, PO AQ001216, 25-02-2026.</t>
        </r>
      </text>
    </comment>
    <comment ref="E18" authorId="0" shapeId="0" xr:uid="{00000000-0006-0000-0200-000008000000}">
      <text>
        <r>
          <rPr>
            <sz val="10"/>
            <rFont val="Arial"/>
            <family val="2"/>
          </rPr>
          <t>Convertido desde USD: 66 USD x 865 CLP/USD (tipo de cambio indicado por la estudiante, 30-08-2026).
Origen: Inventario_Insumos_Metalografia_SIMET-USACH.xlsx, compra Trooly (Suzhou) Technology Co., Ltd, PO AQ001216, 25-02-2026.</t>
        </r>
      </text>
    </comment>
    <comment ref="E19" authorId="0" shapeId="0" xr:uid="{00000000-0006-0000-0200-000009000000}">
      <text>
        <r>
          <rPr>
            <sz val="10"/>
            <rFont val="Arial"/>
            <family val="2"/>
          </rPr>
          <t>Convertido desde USD: 0.7 USD x 865 CLP/USD (tipo de cambio indicado por la estudiante, 30-08-2026).
Origen: Inventario_Insumos_Metalografia_SIMET-USACH.xlsx, compra Trooly (Suzhou) Technology Co., Ltd, PO AQ001216, 25-02-2026.</t>
        </r>
      </text>
    </comment>
    <comment ref="E20" authorId="0" shapeId="0" xr:uid="{00000000-0006-0000-0200-00000A000000}">
      <text>
        <r>
          <rPr>
            <sz val="10"/>
            <rFont val="Arial"/>
            <family val="2"/>
          </rPr>
          <t>Convertido desde USD: 0.7 USD x 865 CLP/USD (tipo de cambio indicado por la estudiante, 30-08-2026).
Origen: Inventario_Insumos_Metalografia_SIMET-USACH.xlsx, compra Trooly (Suzhou) Technology Co., Ltd, PO AQ001216, 25-02-2026.</t>
        </r>
      </text>
    </comment>
    <comment ref="E21" authorId="0" shapeId="0" xr:uid="{00000000-0006-0000-0200-00000B000000}">
      <text>
        <r>
          <rPr>
            <sz val="10"/>
            <rFont val="Arial"/>
            <family val="2"/>
          </rPr>
          <t>Convertido desde USD: 0.7 USD x 865 CLP/USD (tipo de cambio indicado por la estudiante, 30-08-2026).
Origen: Inventario_Insumos_Metalografia_SIMET-USACH.xlsx, compra Trooly (Suzhou) Technology Co., Ltd, PO AQ001216, 25-02-2026.</t>
        </r>
      </text>
    </comment>
    <comment ref="E22" authorId="0" shapeId="0" xr:uid="{00000000-0006-0000-0200-00000C000000}">
      <text>
        <r>
          <rPr>
            <sz val="10"/>
            <rFont val="Arial"/>
            <family val="2"/>
          </rPr>
          <t>Convertido desde USD: 0.7 USD x 865 CLP/USD (tipo de cambio indicado por la estudiante, 30-08-2026).
Origen: Inventario_Insumos_Metalografia_SIMET-USACH.xlsx, compra Trooly (Suzhou) Technology Co., Ltd, PO AQ001216, 25-02-2026.</t>
        </r>
      </text>
    </comment>
    <comment ref="E23" authorId="0" shapeId="0" xr:uid="{00000000-0006-0000-0200-00000D000000}">
      <text>
        <r>
          <rPr>
            <sz val="10"/>
            <rFont val="Arial"/>
            <family val="2"/>
          </rPr>
          <t>Convertido desde USD: 2.82 USD x 865 CLP/USD (tipo de cambio indicado por la estudiante, 30-08-2026).
Origen: Inventario_Insumos_Metalografia_SIMET-USACH.xlsx, compra Trooly (Suzhou) Technology Co., Ltd, PO AQ001216, 25-02-2026.</t>
        </r>
      </text>
    </comment>
    <comment ref="E24" authorId="0" shapeId="0" xr:uid="{00000000-0006-0000-0200-00000E000000}">
      <text>
        <r>
          <rPr>
            <sz val="10"/>
            <rFont val="Arial"/>
            <family val="2"/>
          </rPr>
          <t>Convertido desde USD: 2.82 USD x 865 CLP/USD (tipo de cambio indicado por la estudiante, 30-08-2026).
Origen: Inventario_Insumos_Metalografia_SIMET-USACH.xlsx, compra Trooly (Suzhou) Technology Co., Ltd, PO AQ001216, 25-02-2026.</t>
        </r>
      </text>
    </comment>
    <comment ref="E25" authorId="0" shapeId="0" xr:uid="{00000000-0006-0000-0200-00000F000000}">
      <text>
        <r>
          <rPr>
            <sz val="10"/>
            <rFont val="Arial"/>
            <family val="2"/>
          </rPr>
          <t>Convertido desde USD: 16 USD x 865 CLP/USD (tipo de cambio indicado por la estudiante, 30-08-2026).
Origen: Inventario_Insumos_Metalografia_SIMET-USACH.xlsx, compra Trooly (Suzhou) Technology Co., Ltd, PO AQ001216, 25-02-2026.</t>
        </r>
      </text>
    </comment>
    <comment ref="E26" authorId="0" shapeId="0" xr:uid="{00000000-0006-0000-0200-000010000000}">
      <text>
        <r>
          <rPr>
            <sz val="10"/>
            <rFont val="Arial"/>
            <family val="2"/>
          </rPr>
          <t>Convertido desde USD: 12 USD x 865 CLP/USD (tipo de cambio indicado por la estudiante, 30-08-2026).
Origen: Inventario_Insumos_Metalografia_SIMET-USACH.xlsx, compra Trooly (Suzhou) Technology Co., Ltd, PO AQ001216, 25-02-2026.</t>
        </r>
      </text>
    </comment>
    <comment ref="E27" authorId="0" shapeId="0" xr:uid="{00000000-0006-0000-0200-000011000000}">
      <text>
        <r>
          <rPr>
            <sz val="10"/>
            <rFont val="Arial"/>
            <family val="2"/>
          </rPr>
          <t>Convertido desde USD: 8 USD x 865 CLP/USD (tipo de cambio indicado por la estudiante, 30-08-2026).
Origen: Inventario_Insumos_Metalografia_SIMET-USACH.xlsx, compra Trooly (Suzhou) Technology Co., Ltd, PO AQ001216, 25-02-2026.</t>
        </r>
      </text>
    </comment>
    <comment ref="E28" authorId="0" shapeId="0" xr:uid="{00000000-0006-0000-0200-000012000000}">
      <text>
        <r>
          <rPr>
            <sz val="10"/>
            <rFont val="Arial"/>
            <family val="2"/>
          </rPr>
          <t>Convertido desde USD: 4.7 USD x 865 CLP/USD (tipo de cambio indicado por la estudiante, 30-08-2026).
Origen: Inventario_Insumos_Metalografia_SIMET-USACH.xlsx, compra Trooly (Suzhou) Technology Co., Ltd, PO AQ001216, 25-02-2026.</t>
        </r>
      </text>
    </comment>
    <comment ref="E29" authorId="0" shapeId="0" xr:uid="{00000000-0006-0000-0200-000013000000}">
      <text>
        <r>
          <rPr>
            <sz val="10"/>
            <rFont val="Arial"/>
            <family val="2"/>
          </rPr>
          <t>Convertido desde USD: 4.7 USD x 865 CLP/USD (tipo de cambio indicado por la estudiante, 30-08-2026).
Origen: Inventario_Insumos_Metalografia_SIMET-USACH.xlsx, compra Trooly (Suzhou) Technology Co., Ltd, PO AQ001216, 25-02-2026.</t>
        </r>
      </text>
    </comment>
    <comment ref="E30" authorId="0" shapeId="0" xr:uid="{00000000-0006-0000-0200-000014000000}">
      <text>
        <r>
          <rPr>
            <sz val="10"/>
            <rFont val="Arial"/>
            <family val="2"/>
          </rPr>
          <t>Convertido desde USD: 23.5 USD x 865 CLP/USD (tipo de cambio indicado por la estudiante, 30-08-2026).
Origen: Inventario_Insumos_Metalografia_SIMET-USACH.xlsx, compra Trooly (Suzhou) Technology Co., Ltd, PO AQ001216, 25-02-2026.</t>
        </r>
      </text>
    </comment>
    <comment ref="E31" authorId="0" shapeId="0" xr:uid="{00000000-0006-0000-0200-000015000000}">
      <text>
        <r>
          <rPr>
            <sz val="10"/>
            <rFont val="Arial"/>
            <family val="2"/>
          </rPr>
          <t>Convertido desde USD: 0.094 USD x 865 CLP/USD (tipo de cambio indicado por la estudiante, 30-08-2026).
Origen: Inventario_Insumos_Metalografia_SIMET-USACH.xlsx, compra Trooly (Suzhou) Technology Co., Ltd, PO AQ001216, 25-02-2026.</t>
        </r>
      </text>
    </comment>
    <comment ref="E32" authorId="0" shapeId="0" xr:uid="{00000000-0006-0000-0200-000016000000}">
      <text>
        <r>
          <rPr>
            <sz val="10"/>
            <rFont val="Arial"/>
            <family val="2"/>
          </rPr>
          <t>Convertido desde USD: 0.106 USD x 865 CLP/USD (tipo de cambio indicado por la estudiante, 30-08-2026).
Origen: Inventario_Insumos_Metalografia_SIMET-USACH.xlsx, compra Trooly (Suzhou) Technology Co., Ltd, PO AQ001216, 25-02-2026.</t>
        </r>
      </text>
    </comment>
    <comment ref="E33" authorId="0" shapeId="0" xr:uid="{00000000-0006-0000-0200-000017000000}">
      <text>
        <r>
          <rPr>
            <sz val="10"/>
            <rFont val="Arial"/>
            <family val="2"/>
          </rPr>
          <t>Convertido desde USD: 5.85 USD x 865 CLP/USD (tipo de cambio indicado por la estudiante, 30-08-2026).
Origen: Inventario_Insumos_Metalografia_SIMET-USACH.xlsx, compra Trooly (Suzhou) Technology Co., Ltd, PO AQ001216, 25-02-2026.</t>
        </r>
      </text>
    </comment>
    <comment ref="E34" authorId="0" shapeId="0" xr:uid="{00000000-0006-0000-0200-000018000000}">
      <text>
        <r>
          <rPr>
            <sz val="10"/>
            <rFont val="Arial"/>
            <family val="2"/>
          </rPr>
          <t>Convertido desde USD: 0.033 USD x 865 CLP/USD (tipo de cambio indicado por la estudiante, 30-08-2026).
Origen: Inventario_Insumos_Metalografia_SIMET-USACH.xlsx, compra Trooly (Suzhou) Technology Co., Ltd, PO AQ001216, 25-02-2026.</t>
        </r>
      </text>
    </comment>
    <comment ref="E35" authorId="0" shapeId="0" xr:uid="{00000000-0006-0000-0200-000019000000}">
      <text>
        <r>
          <rPr>
            <sz val="10"/>
            <rFont val="Arial"/>
            <family val="2"/>
          </rPr>
          <t>Convertido desde USD: 0.07 USD x 865 CLP/USD (tipo de cambio indicado por la estudiante, 30-08-2026).
Origen: Inventario_Insumos_Metalografia_SIMET-USACH.xlsx, compra Trooly (Suzhou) Technology Co., Ltd, PO AQ001216, 25-02-2026.</t>
        </r>
      </text>
    </comment>
    <comment ref="E36" authorId="0" shapeId="0" xr:uid="{00000000-0006-0000-0200-00001A000000}">
      <text>
        <r>
          <rPr>
            <sz val="10"/>
            <rFont val="Arial"/>
            <family val="2"/>
          </rPr>
          <t>Convertido desde USD: 0.07 USD x 865 CLP/USD (tipo de cambio indicado por la estudiante, 30-08-2026).
Origen: Inventario_Insumos_Metalografia_SIMET-USACH.xlsx, compra Trooly (Suzhou) Technology Co., Ltd, PO AQ001216, 25-02-2026.</t>
        </r>
      </text>
    </comment>
    <comment ref="E37" authorId="0" shapeId="0" xr:uid="{00000000-0006-0000-0200-00001B000000}">
      <text>
        <r>
          <rPr>
            <sz val="10"/>
            <rFont val="Arial"/>
            <family val="2"/>
          </rPr>
          <t>Convertido desde USD: 0.07 USD x 865 CLP/USD (tipo de cambio indicado por la estudiante, 30-08-2026).
Origen: Inventario_Insumos_Metalografia_SIMET-USACH.xlsx, compra Trooly (Suzhou) Technology Co., Ltd, PO AQ001216, 25-02-2026.</t>
        </r>
      </text>
    </comment>
    <comment ref="E38" authorId="0" shapeId="0" xr:uid="{00000000-0006-0000-0200-00001C000000}">
      <text>
        <r>
          <rPr>
            <sz val="10"/>
            <rFont val="Arial"/>
            <family val="2"/>
          </rPr>
          <t>Convertido desde USD: 0.07 USD x 865 CLP/USD (tipo de cambio indicado por la estudiante, 30-08-2026).
Origen: Inventario_Insumos_Metalografia_SIMET-USACH.xlsx, compra Trooly (Suzhou) Technology Co., Ltd, PO AQ001216, 25-02-2026.</t>
        </r>
      </text>
    </comment>
    <comment ref="E39" authorId="0" shapeId="0" xr:uid="{00000000-0006-0000-0200-00001D000000}">
      <text>
        <r>
          <rPr>
            <sz val="10"/>
            <rFont val="Arial"/>
            <family val="2"/>
          </rPr>
          <t>Convertido desde USD: 0.016 USD x 865 CLP/USD (tipo de cambio indicado por la estudiante, 30-08-2026).
Origen: Inventario_Insumos_Metalografia_SIMET-USACH.xlsx, compra Trooly (Suzhou) Technology Co., Ltd, PO AQ001216, 25-02-2026.</t>
        </r>
      </text>
    </comment>
    <comment ref="E40" authorId="0" shapeId="0" xr:uid="{00000000-0006-0000-0200-00001E000000}">
      <text>
        <r>
          <rPr>
            <sz val="10"/>
            <rFont val="Arial"/>
            <family val="2"/>
          </rPr>
          <t>Valor en CLP tomado directamente de Inventario_Insumos_Metalografia_SIMET-USACH.xlsx (precio por unidad individual, promedio ponderado).</t>
        </r>
      </text>
    </comment>
    <comment ref="E41" authorId="0" shapeId="0" xr:uid="{00000000-0006-0000-0200-00001F000000}">
      <text>
        <r>
          <rPr>
            <sz val="10"/>
            <rFont val="Arial"/>
            <family val="2"/>
          </rPr>
          <t>Valor en CLP tomado directamente de Inventario_Insumos_Metalografia_SIMET-USACH.xlsx (precio por unidad individual, promedio ponderado).</t>
        </r>
      </text>
    </comment>
  </commentList>
</comments>
</file>

<file path=xl/sharedStrings.xml><?xml version="1.0" encoding="utf-8"?>
<sst xmlns="http://schemas.openxmlformats.org/spreadsheetml/2006/main" count="274" uniqueCount="157">
  <si>
    <t>CONTROL DE INSUMOS CRÍTICOS — SIMET-USACH (ARCHIVO CONSOLIDADO)</t>
  </si>
  <si>
    <t>Qué reemplaza este archivo</t>
  </si>
  <si>
    <t>Este archivo unifica en una sola hoja los tres que se usaban por separado: Clasificación ABC Multicriterio, Ficha de Consumo por Operación, y Simulador de Alertas de Stock. Cada insumo aparece una sola vez, con todos sus datos juntos — ya no hay que mantener el Costo unitario, la Clase ABC o el Tiempo de reposición repetidos en tres archivos distintos.</t>
  </si>
  <si>
    <t>Cómo funciona</t>
  </si>
  <si>
    <t>1. Complete las columnas amarillas de cada insumo: Costo unitario, N° de unidades por cambio de set, Frecuencia de uso mensual, Rendimiento (probetas por cambio), Impacto operacional (1-5), Tiempo de reposición (días) y Ubicación (estante/repisa/zona donde se guarda físicamente). El Stock actual ya NO se escribe a mano: se calcula solo a partir de las hojas "Registro de Ingresos" y "Registro de Egresos" (ver punto 9).</t>
  </si>
  <si>
    <t>2. La Frecuencia de uso mensual es un solo dato que ahora alimenta tanto la clasificación ABC como el cálculo de stock mínimo — antes este dato estaba separado como 'Consumo promedio mensual' en el Simulador; ya no hace falta escribirlo dos veces.</t>
  </si>
  <si>
    <t>3. Costo por cambio de set, Costo por probeta, Puntaje ponderado, Ranking, % acumulado, Clasificación ABC, Factor de seguridad, Stock actual, Stock mínimo, Alerta de nivel de stock, Fecha proyectada, Día proyectado y Alerta de ventana de compra se calculan solos. No los edite.</t>
  </si>
  <si>
    <t>4. Los pesos de los 4 criterios de la clasificación ABC (celdas B4:B7 más abajo) deben sumar 1.</t>
  </si>
  <si>
    <t>5. La Clasificación ABC solo se calcula cuando el insumo tiene Costo, Frecuencia, Impacto y Tiempo de reposición completos. Un insumo sin esos 4 datos queda sin clasificar, pero puede igual tener datos de Rendimiento/Costo por probeta o de Stock si los complementó por separado.</t>
  </si>
  <si>
    <t>6. Fecha de hoy (para las alertas): se actualiza sola, pero puede sobrescribirla para simular un escenario.</t>
  </si>
  <si>
    <t>7. Ventana SDT-USACH: día 1 al día 20 de cada mes (20 = último día para facturar). No editable.</t>
  </si>
  <si>
    <t>8. Se incluyó una fila de ejemplo (ID 0, en gris) — no la use como dato real.</t>
  </si>
  <si>
    <t>Leyenda de colores</t>
  </si>
  <si>
    <t xml:space="preserve">   Celda de dato crudo — completar manualmente</t>
  </si>
  <si>
    <t xml:space="preserve">   Peso o parámetro de configuración — completar manualmente</t>
  </si>
  <si>
    <t xml:space="preserve">   Celda calculada automáticamente (no editar)</t>
  </si>
  <si>
    <t xml:space="preserve">   Clase A / Sin alerta / Dentro de ventana</t>
  </si>
  <si>
    <t xml:space="preserve">   Clase C / Alerta activa / Fuera de ventana</t>
  </si>
  <si>
    <t>9. Registro de movimientos: cada vez que ingrese o retire un insumo, agregue una fila en la hoja "Registro de Ingresos" o "Registro de Egresos" (fecha, insumo —selecciónelo de la lista desplegable—, cantidad y responsable). El Stock actual del Catálogo se recalcula solo, sumando todos los ingresos y restando todos los egresos registrados para ese insumo.</t>
  </si>
  <si>
    <t>10. No sobrescriba el Stock actual directamente en el Catálogo: si necesita corregirlo, agregue un ingreso o egreso de ajuste en la hoja correspondiente, para mantener el historial de movimientos completo y trazable.</t>
  </si>
  <si>
    <t>11. La hoja "Vista General" muestra en una sola tabla, ordenable y filtrable, todos los insumos con su clase ABC, ubicación, stock actual, stock mínimo y alertas vigentes — útil para una revisión rápida sin recorrer todas las columnas de cálculo del Catálogo.</t>
  </si>
  <si>
    <t>Categoría</t>
  </si>
  <si>
    <t>Operación</t>
  </si>
  <si>
    <t>Fuente del dato</t>
  </si>
  <si>
    <t>Consumible de ensayo</t>
  </si>
  <si>
    <t>Corte</t>
  </si>
  <si>
    <t>Compra 2025-2026 (estimado por volumen)</t>
  </si>
  <si>
    <t>Rendimiento múltiple (herramienta)</t>
  </si>
  <si>
    <t>Fresado</t>
  </si>
  <si>
    <t>Entrevista personal técnico</t>
  </si>
  <si>
    <t>EPP-Seguridad</t>
  </si>
  <si>
    <t>Torneado</t>
  </si>
  <si>
    <t>Observación directa</t>
  </si>
  <si>
    <t>Insumo general</t>
  </si>
  <si>
    <t>Lijado</t>
  </si>
  <si>
    <t>Estimación / por confirmar</t>
  </si>
  <si>
    <t>Ensayo</t>
  </si>
  <si>
    <t>Desbaste</t>
  </si>
  <si>
    <t>Pulido</t>
  </si>
  <si>
    <t>Ataque químico</t>
  </si>
  <si>
    <t>CATÁLOGO CONSOLIDADO DE INSUMOS CRÍTICOS — SIMET-USACH</t>
  </si>
  <si>
    <t>Pesos de los criterios ABC (deben sumar 1)</t>
  </si>
  <si>
    <t>Fecha de hoy (para alertas):</t>
  </si>
  <si>
    <t>Peso — Costo unitario</t>
  </si>
  <si>
    <t>Ventana SDT-USACH:</t>
  </si>
  <si>
    <t>Día 1 al 20 (20 = último día para facturar)</t>
  </si>
  <si>
    <t>Peso — Frecuencia de uso</t>
  </si>
  <si>
    <t>Peso — Impacto operacional</t>
  </si>
  <si>
    <t>Peso — Tiempo de reposición</t>
  </si>
  <si>
    <t>Suma de pesos (debe ser 1.00)</t>
  </si>
  <si>
    <t>Ranking</t>
  </si>
  <si>
    <t>% acumulado</t>
  </si>
  <si>
    <t>Clase ABC</t>
  </si>
  <si>
    <t>Factor de
seguridad</t>
  </si>
  <si>
    <t>Stock
actual</t>
  </si>
  <si>
    <t>Stock
mínimo</t>
  </si>
  <si>
    <t>ID</t>
  </si>
  <si>
    <t>Insumo</t>
  </si>
  <si>
    <t>Costo unitario
(CLP)</t>
  </si>
  <si>
    <t>N° unidades
por cambio</t>
  </si>
  <si>
    <t>Costo por cambio
de set (CLP)</t>
  </si>
  <si>
    <t>Frecuencia de uso
mensual</t>
  </si>
  <si>
    <t>Rendimiento
(probetas/cambio)</t>
  </si>
  <si>
    <t>Costo por
probeta (CLP)</t>
  </si>
  <si>
    <t>Impacto
operacional (1-5)</t>
  </si>
  <si>
    <t>Tiempo de
reposición (días)</t>
  </si>
  <si>
    <t>Puntaje
ponderado</t>
  </si>
  <si>
    <t>Alerta nivel
de stock</t>
  </si>
  <si>
    <t>Fecha proyectada
stock mínimo</t>
  </si>
  <si>
    <t>Día del mes
proyectado</t>
  </si>
  <si>
    <t>Alerta ventana
de compra</t>
  </si>
  <si>
    <t>Fuente del dato
(Rendimiento)</t>
  </si>
  <si>
    <t>Ubicación</t>
  </si>
  <si>
    <t>Ejemplo: Reactivo X (no usar como dato real)</t>
  </si>
  <si>
    <t>Estante 3B</t>
  </si>
  <si>
    <t>Cut Off Wheels, A303020, 300×32×2.0mm</t>
  </si>
  <si>
    <t>Consumible de metalografía</t>
  </si>
  <si>
    <t>Cut Off Wheels, A503020, 300×32×2.0mm</t>
  </si>
  <si>
    <t>Cut Off Wheels, A603020, 300×32×2.0mm</t>
  </si>
  <si>
    <t>Plastic Clip, Red, X-sample</t>
  </si>
  <si>
    <t>Montaje</t>
  </si>
  <si>
    <t>Plastic Clip, Green, X-sample</t>
  </si>
  <si>
    <t>Plastic Clip, White, X-sample</t>
  </si>
  <si>
    <t>Sample Holder</t>
  </si>
  <si>
    <t>Abrasive Paper, Silicon Carbide, PSA, 250mm, 180#</t>
  </si>
  <si>
    <t>Abrasive Paper, Silicon Carbide, PSA, 250mm, 400#</t>
  </si>
  <si>
    <t>Abrasive Paper, Silicon Carbide, PSA, 250mm, 800#</t>
  </si>
  <si>
    <t>Abrasive Paper, Silicon Carbide, PSA, 250mm, 1200#</t>
  </si>
  <si>
    <t>Abrasive Paper, Silicon Carbide, PSA, 250mm, 2400#</t>
  </si>
  <si>
    <t>Abrasive Paper, Silicon Carbide, PSA, 250mm, 4000#</t>
  </si>
  <si>
    <t>Adapter Disc, AD PSA, 250mm</t>
  </si>
  <si>
    <t>Magnetic Plate, 250mm</t>
  </si>
  <si>
    <t>Polishing Cloth, ZN-ZP, 250mm</t>
  </si>
  <si>
    <t>Polishing Cloth, SR-ZP, 250mm</t>
  </si>
  <si>
    <t>Polishing Cloth, YR-JP, 250mm</t>
  </si>
  <si>
    <t>Hot Mounting Compounds, DC 2239</t>
  </si>
  <si>
    <t>Alumina Powder, 1µm</t>
  </si>
  <si>
    <t>Alumina Powder, 0.3µm</t>
  </si>
  <si>
    <t>Hot Mounting Compounds, PT 2231</t>
  </si>
  <si>
    <t>Silica Suspension, 50nm</t>
  </si>
  <si>
    <t>Diamond Suspension, 6µm</t>
  </si>
  <si>
    <t>Diamond Suspension, 3µm</t>
  </si>
  <si>
    <t>Diamond Suspension, 1µm</t>
  </si>
  <si>
    <t>Diamond Suspension, 0.25µm</t>
  </si>
  <si>
    <t>Polishing Lubricants</t>
  </si>
  <si>
    <t>Guantes de latex talla M</t>
  </si>
  <si>
    <t>EPP</t>
  </si>
  <si>
    <t>Sierra bimetal 1" 4-6 E0,9</t>
  </si>
  <si>
    <t>Sierra bimetal 1" 5-7 E0,9</t>
  </si>
  <si>
    <t>Sierra bimetal 1" 3-4 E0,9</t>
  </si>
  <si>
    <t>Correa motor A-37</t>
  </si>
  <si>
    <t>Banda lija tela gr 100</t>
  </si>
  <si>
    <t>Terminación</t>
  </si>
  <si>
    <t>Banda lija tela gr 80</t>
  </si>
  <si>
    <t>Inserto RCMX 2006 Mitsubishi</t>
  </si>
  <si>
    <t>Porta H ext WTJNR 2020K16</t>
  </si>
  <si>
    <t>Repuesto placa base M1603</t>
  </si>
  <si>
    <t>Inserto APKT 160408 PH792</t>
  </si>
  <si>
    <t>Porta H int S25-MTUNR16AW</t>
  </si>
  <si>
    <t>Inserto TNMG 160408-MA MI</t>
  </si>
  <si>
    <t>Inserto fresa SNHX 1206PH</t>
  </si>
  <si>
    <t>Inserto torno TNMG 160404</t>
  </si>
  <si>
    <t>Inserto TNMG 100404-MS-NF</t>
  </si>
  <si>
    <t>Mantención placas electrónicas (EDM)</t>
  </si>
  <si>
    <t>Mantención cable bomba de agua (EDM)</t>
  </si>
  <si>
    <t>Cable original bomba AR (EDM)</t>
  </si>
  <si>
    <t>Rodamiento polea AR (EDM)</t>
  </si>
  <si>
    <t>Filtro AR (EDM)</t>
  </si>
  <si>
    <t>Hilo molibdeno 0,18 mm (EDM)</t>
  </si>
  <si>
    <t>Emulsión dieléctrica AR (EDM)</t>
  </si>
  <si>
    <t>Cable de masa (EDM)</t>
  </si>
  <si>
    <t>Sensor hilo roto AR (EDM)</t>
  </si>
  <si>
    <t>Terminal mesa cable masa (EDM)</t>
  </si>
  <si>
    <t>Contacto eléctrico AR (EDM)</t>
  </si>
  <si>
    <t>Microswitch hilo roto (EDM)</t>
  </si>
  <si>
    <t>Polea metálica AR (EDM)</t>
  </si>
  <si>
    <t>Polea ruby (EDM)</t>
  </si>
  <si>
    <t>Kit tambor polea AR (EDM)</t>
  </si>
  <si>
    <t>Lija traslapada 7"</t>
  </si>
  <si>
    <t>Alcohol metílico 5 L</t>
  </si>
  <si>
    <t>Vista general de insumos — Control de Insumos Críticos SIMET-USACH</t>
  </si>
  <si>
    <t>Resumen consolidado: clasificación, ubicación, stock y alertas de todos los insumos catastrados.</t>
  </si>
  <si>
    <t>Stock actual</t>
  </si>
  <si>
    <t>Stock mínimo</t>
  </si>
  <si>
    <t>Alerta nivel de stock</t>
  </si>
  <si>
    <t>Alerta ventana de compra</t>
  </si>
  <si>
    <t>REGISTRO DE INGRESOS — Control de Insumos Críticos SIMET-USACH</t>
  </si>
  <si>
    <t>Fecha</t>
  </si>
  <si>
    <t>Cantidad</t>
  </si>
  <si>
    <t>Responsable</t>
  </si>
  <si>
    <t>Observación</t>
  </si>
  <si>
    <t>Ejemplo: Sierra bimetal 1" 4-6 E0,9 (no usar como dato real)</t>
  </si>
  <si>
    <t>M. Contreras</t>
  </si>
  <si>
    <t>Fila de ejemplo — bórrela o ignórela al registrar datos reales</t>
  </si>
  <si>
    <t>REGISTRO DE EGRESOS — Control de Insumos Críticos SIMET-USACH</t>
  </si>
  <si>
    <t>Responsable / RAM asociado</t>
  </si>
  <si>
    <t>J. Pérez — RAM 2026-0341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</si>
</sst>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yy"/>
    <numFmt numFmtId="165" formatCode="0.000"/>
    <numFmt numFmtId="166" formatCode="0.0%"/>
    <numFmt numFmtId="167" formatCode="0.0"/>
  </numFmts>
  <fonts count="22" x14ac:knownFonts="1">
    <font>
      <sz val="11"/>
      <color theme="1"/>
      <name val="Calibri"/>
      <family val="2"/>
      <charset val="1"/>
    </font>
    <font>
      <b/>
      <sz val="15"/>
      <color rgb="FF1F3864"/>
      <name val="Arial"/>
      <family val="2"/>
      <charset val="1"/>
    </font>
    <font>
      <b/>
      <sz val="12"/>
      <name val="Arial"/>
      <family val="2"/>
      <charset val="1"/>
    </font>
    <font>
      <sz val="11"/>
      <name val="Arial"/>
      <family val="2"/>
      <charset val="1"/>
    </font>
    <font>
      <b/>
      <sz val="11"/>
      <name val="Arial"/>
      <family val="2"/>
      <charset val="1"/>
    </font>
    <font>
      <b/>
      <sz val="13"/>
      <color rgb="FFFFFFFF"/>
      <name val="Arial"/>
      <family val="2"/>
      <charset val="1"/>
    </font>
    <font>
      <b/>
      <sz val="11"/>
      <color rgb="FF1F3864"/>
      <name val="Arial"/>
      <family val="2"/>
      <charset val="1"/>
    </font>
    <font>
      <sz val="10"/>
      <name val="Arial"/>
      <family val="2"/>
      <charset val="1"/>
    </font>
    <font>
      <i/>
      <sz val="10"/>
      <name val="Arial"/>
      <family val="2"/>
      <charset val="1"/>
    </font>
    <font>
      <b/>
      <sz val="10"/>
      <name val="Arial"/>
      <family val="2"/>
      <charset val="1"/>
    </font>
    <font>
      <b/>
      <sz val="9"/>
      <color rgb="FF1F3864"/>
      <name val="Arial"/>
      <family val="2"/>
      <charset val="1"/>
    </font>
    <font>
      <b/>
      <sz val="9"/>
      <color rgb="FFFFFFFF"/>
      <name val="Arial"/>
      <family val="2"/>
      <charset val="1"/>
    </font>
    <font>
      <b/>
      <sz val="9"/>
      <color rgb="FFFFFFFF"/>
      <name val="Arial"/>
      <charset val="1"/>
    </font>
    <font>
      <i/>
      <sz val="9"/>
      <color rgb="FF7F7F7F"/>
      <name val="Arial"/>
      <family val="2"/>
      <charset val="1"/>
    </font>
    <font>
      <sz val="9"/>
      <name val="Arial"/>
      <charset val="1"/>
    </font>
    <font>
      <sz val="9"/>
      <name val="Arial"/>
      <family val="2"/>
      <charset val="1"/>
    </font>
    <font>
      <sz val="10"/>
      <name val="Arial"/>
      <family val="2"/>
    </font>
    <font>
      <b/>
      <sz val="13"/>
      <color rgb="FF1F3864"/>
      <name val="Arial"/>
      <charset val="1"/>
    </font>
    <font>
      <i/>
      <sz val="9.5"/>
      <color rgb="FF52514E"/>
      <name val="Arial"/>
      <charset val="1"/>
    </font>
    <font>
      <b/>
      <sz val="9.5"/>
      <color rgb="FFFFFFFF"/>
      <name val="Arial"/>
      <charset val="1"/>
    </font>
    <font>
      <sz val="9.5"/>
      <name val="Arial"/>
      <charset val="1"/>
    </font>
    <font>
      <b/>
      <sz val="12"/>
      <color rgb="FF1F3864"/>
      <name val="Arial"/>
      <charset val="1"/>
    </font>
  </fonts>
  <fills count="10">
    <fill>
      <patternFill patternType="none"/>
    </fill>
    <fill>
      <patternFill patternType="gray125"/>
    </fill>
    <fill>
      <patternFill patternType="solid">
        <fgColor rgb="FFFFF2CC"/>
        <bgColor rgb="FFF2F2F2"/>
      </patternFill>
    </fill>
    <fill>
      <patternFill patternType="solid">
        <fgColor rgb="FFFFE699"/>
        <bgColor rgb="FFFFF2CC"/>
      </patternFill>
    </fill>
    <fill>
      <patternFill patternType="solid">
        <fgColor rgb="FFC6E0B4"/>
        <bgColor rgb="FFD9D9D9"/>
      </patternFill>
    </fill>
    <fill>
      <patternFill patternType="solid">
        <fgColor rgb="FFF8CBAD"/>
        <bgColor rgb="FFFFE699"/>
      </patternFill>
    </fill>
    <fill>
      <patternFill patternType="solid">
        <fgColor rgb="FF1F3864"/>
        <bgColor rgb="FF333399"/>
      </patternFill>
    </fill>
    <fill>
      <patternFill patternType="solid">
        <fgColor rgb="FFF2F2F2"/>
        <bgColor rgb="FFF2F5FA"/>
      </patternFill>
    </fill>
    <fill>
      <patternFill patternType="solid">
        <fgColor rgb="FFD9D9D9"/>
        <bgColor rgb="FFC6E0B4"/>
      </patternFill>
    </fill>
    <fill>
      <patternFill patternType="solid">
        <fgColor rgb="FFF2F5FA"/>
        <bgColor rgb="FFF2F2F2"/>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65">
    <xf numFmtId="0" fontId="0" fillId="0" borderId="0" xfId="0"/>
    <xf numFmtId="0" fontId="21" fillId="0" borderId="0" xfId="0" applyFont="1" applyBorder="1" applyAlignment="1"/>
    <xf numFmtId="0" fontId="18" fillId="0" borderId="0" xfId="0" applyFont="1" applyBorder="1" applyAlignment="1"/>
    <xf numFmtId="0" fontId="17" fillId="0" borderId="0" xfId="0" applyFont="1" applyBorder="1" applyAlignment="1"/>
    <xf numFmtId="0" fontId="5" fillId="6" borderId="0" xfId="0" applyFont="1" applyFill="1" applyBorder="1" applyAlignment="1">
      <alignment horizontal="center" vertical="center"/>
    </xf>
    <xf numFmtId="0" fontId="0" fillId="0" borderId="0" xfId="0" applyAlignment="1"/>
    <xf numFmtId="0" fontId="1" fillId="0" borderId="0" xfId="0" applyFont="1" applyAlignment="1"/>
    <xf numFmtId="0" fontId="2" fillId="0" borderId="0" xfId="0" applyFont="1" applyAlignment="1"/>
    <xf numFmtId="0" fontId="3" fillId="0" borderId="0" xfId="0" applyFont="1" applyAlignment="1">
      <alignment vertical="top" wrapText="1"/>
    </xf>
    <xf numFmtId="0" fontId="0" fillId="0" borderId="0" xfId="0" applyAlignment="1">
      <alignment wrapText="1"/>
    </xf>
    <xf numFmtId="0" fontId="2" fillId="0" borderId="0" xfId="0" applyFont="1" applyAlignment="1">
      <alignment wrapText="1"/>
    </xf>
    <xf numFmtId="0" fontId="0" fillId="2" borderId="1" xfId="0" applyFill="1" applyBorder="1" applyAlignment="1"/>
    <xf numFmtId="0" fontId="3" fillId="0" borderId="0" xfId="0" applyFont="1" applyAlignment="1"/>
    <xf numFmtId="0" fontId="0" fillId="3" borderId="1" xfId="0" applyFill="1" applyBorder="1" applyAlignment="1"/>
    <xf numFmtId="0" fontId="0" fillId="0" borderId="1" xfId="0" applyBorder="1" applyAlignment="1"/>
    <xf numFmtId="0" fontId="0" fillId="4" borderId="1" xfId="0" applyFill="1" applyBorder="1" applyAlignment="1"/>
    <xf numFmtId="0" fontId="0" fillId="5" borderId="1" xfId="0" applyFill="1" applyBorder="1" applyAlignment="1"/>
    <xf numFmtId="0" fontId="4" fillId="0" borderId="0" xfId="0" applyFont="1" applyAlignment="1"/>
    <xf numFmtId="0" fontId="6" fillId="0" borderId="0" xfId="0" applyFont="1" applyAlignment="1"/>
    <xf numFmtId="164" fontId="4" fillId="3" borderId="0" xfId="0" applyNumberFormat="1" applyFont="1" applyFill="1" applyAlignment="1"/>
    <xf numFmtId="0" fontId="7" fillId="0" borderId="0" xfId="0" applyFont="1" applyAlignment="1"/>
    <xf numFmtId="2" fontId="0" fillId="3" borderId="1" xfId="0" applyNumberFormat="1" applyFill="1" applyBorder="1" applyAlignment="1"/>
    <xf numFmtId="0" fontId="8" fillId="0" borderId="0" xfId="0" applyFont="1" applyAlignment="1"/>
    <xf numFmtId="2" fontId="9" fillId="0" borderId="0" xfId="0" applyNumberFormat="1" applyFont="1" applyAlignment="1"/>
    <xf numFmtId="0" fontId="10" fillId="0" borderId="0" xfId="0" applyFont="1" applyAlignment="1">
      <alignment horizontal="center" vertical="center" wrapText="1"/>
    </xf>
    <xf numFmtId="0" fontId="11" fillId="6" borderId="1" xfId="0" applyFont="1" applyFill="1" applyBorder="1" applyAlignment="1">
      <alignment horizontal="center" vertical="center" wrapText="1"/>
    </xf>
    <xf numFmtId="3" fontId="11" fillId="6" borderId="1" xfId="0" applyNumberFormat="1" applyFont="1" applyFill="1" applyBorder="1" applyAlignment="1">
      <alignment horizontal="center" vertical="center" wrapText="1"/>
    </xf>
    <xf numFmtId="0" fontId="12" fillId="6" borderId="0" xfId="0" applyFont="1" applyFill="1" applyAlignment="1">
      <alignment horizontal="center" vertical="center" wrapText="1"/>
    </xf>
    <xf numFmtId="0" fontId="13" fillId="7" borderId="1" xfId="0" applyFont="1" applyFill="1" applyBorder="1" applyAlignment="1">
      <alignment horizontal="center" vertical="center" wrapText="1"/>
    </xf>
    <xf numFmtId="0" fontId="13" fillId="7" borderId="1" xfId="0" applyFont="1" applyFill="1" applyBorder="1" applyAlignment="1">
      <alignment horizontal="left" vertical="center" wrapText="1"/>
    </xf>
    <xf numFmtId="3" fontId="13" fillId="7" borderId="1" xfId="0" applyNumberFormat="1" applyFont="1" applyFill="1" applyBorder="1" applyAlignment="1">
      <alignment horizontal="center" vertical="center" wrapText="1"/>
    </xf>
    <xf numFmtId="165" fontId="13" fillId="7" borderId="1" xfId="0" applyNumberFormat="1" applyFont="1" applyFill="1" applyBorder="1" applyAlignment="1">
      <alignment horizontal="center" vertical="center" wrapText="1"/>
    </xf>
    <xf numFmtId="166" fontId="13" fillId="7" borderId="1" xfId="0" applyNumberFormat="1" applyFont="1" applyFill="1" applyBorder="1" applyAlignment="1">
      <alignment horizontal="center" vertical="center" wrapText="1"/>
    </xf>
    <xf numFmtId="9" fontId="13" fillId="7" borderId="1" xfId="0" applyNumberFormat="1" applyFont="1" applyFill="1" applyBorder="1" applyAlignment="1">
      <alignment horizontal="center" vertical="center" wrapText="1"/>
    </xf>
    <xf numFmtId="0" fontId="14" fillId="0" borderId="1" xfId="0" applyFont="1" applyBorder="1" applyAlignment="1">
      <alignment horizontal="center" vertical="center" wrapText="1"/>
    </xf>
    <xf numFmtId="167" fontId="13" fillId="7" borderId="1" xfId="0" applyNumberFormat="1" applyFont="1" applyFill="1" applyBorder="1" applyAlignment="1">
      <alignment horizontal="center" vertical="center" wrapText="1"/>
    </xf>
    <xf numFmtId="164" fontId="13" fillId="7" borderId="1" xfId="0" applyNumberFormat="1" applyFont="1" applyFill="1" applyBorder="1" applyAlignment="1">
      <alignment horizontal="center" vertical="center" wrapText="1"/>
    </xf>
    <xf numFmtId="0" fontId="14" fillId="8" borderId="0" xfId="0" applyFont="1" applyFill="1" applyAlignment="1"/>
    <xf numFmtId="0" fontId="15" fillId="0" borderId="1" xfId="0" applyFont="1" applyBorder="1" applyAlignment="1">
      <alignment horizontal="center" vertical="center" wrapText="1"/>
    </xf>
    <xf numFmtId="0" fontId="15" fillId="0" borderId="1" xfId="0" applyFont="1" applyBorder="1" applyAlignment="1">
      <alignment horizontal="left" vertical="center" wrapText="1"/>
    </xf>
    <xf numFmtId="0" fontId="15" fillId="2" borderId="1" xfId="0" applyFont="1" applyFill="1" applyBorder="1" applyAlignment="1">
      <alignment horizontal="center" vertical="center" wrapText="1"/>
    </xf>
    <xf numFmtId="3" fontId="15" fillId="2" borderId="1" xfId="0" applyNumberFormat="1" applyFont="1" applyFill="1" applyBorder="1" applyAlignment="1">
      <alignment horizontal="center" vertical="center" wrapText="1"/>
    </xf>
    <xf numFmtId="3" fontId="15" fillId="0" borderId="1" xfId="0" applyNumberFormat="1" applyFont="1" applyBorder="1" applyAlignment="1">
      <alignment horizontal="center" vertical="center" wrapText="1"/>
    </xf>
    <xf numFmtId="165" fontId="15" fillId="0" borderId="1" xfId="0" applyNumberFormat="1" applyFont="1" applyBorder="1" applyAlignment="1">
      <alignment horizontal="center" vertical="center" wrapText="1"/>
    </xf>
    <xf numFmtId="166" fontId="15" fillId="0" borderId="1" xfId="0" applyNumberFormat="1" applyFont="1" applyBorder="1" applyAlignment="1">
      <alignment horizontal="center" vertical="center" wrapText="1"/>
    </xf>
    <xf numFmtId="9" fontId="15" fillId="0" borderId="1" xfId="0" applyNumberFormat="1" applyFont="1" applyBorder="1" applyAlignment="1">
      <alignment horizontal="center" vertical="center" wrapText="1"/>
    </xf>
    <xf numFmtId="167" fontId="15" fillId="0" borderId="1" xfId="0" applyNumberFormat="1" applyFont="1" applyBorder="1" applyAlignment="1">
      <alignment horizontal="center" vertical="center" wrapText="1"/>
    </xf>
    <xf numFmtId="164" fontId="15" fillId="0" borderId="1" xfId="0" applyNumberFormat="1" applyFont="1" applyBorder="1" applyAlignment="1">
      <alignment horizontal="center" vertical="center" wrapText="1"/>
    </xf>
    <xf numFmtId="0" fontId="14" fillId="2" borderId="2" xfId="0" applyFont="1" applyFill="1" applyBorder="1" applyAlignment="1">
      <alignment horizontal="left" vertical="center"/>
    </xf>
    <xf numFmtId="0" fontId="19" fillId="6" borderId="2" xfId="0" applyFont="1" applyFill="1" applyBorder="1" applyAlignment="1">
      <alignment horizontal="center" vertical="center" wrapText="1"/>
    </xf>
    <xf numFmtId="0" fontId="20" fillId="0" borderId="2" xfId="0" applyFont="1" applyBorder="1" applyAlignment="1">
      <alignment horizontal="center" vertical="center"/>
    </xf>
    <xf numFmtId="0" fontId="20" fillId="0" borderId="2" xfId="0" applyFont="1" applyBorder="1" applyAlignment="1">
      <alignment horizontal="left" vertical="center" wrapText="1"/>
    </xf>
    <xf numFmtId="0" fontId="20" fillId="0" borderId="2" xfId="0" applyFont="1" applyBorder="1" applyAlignment="1">
      <alignment horizontal="left" vertical="center"/>
    </xf>
    <xf numFmtId="0" fontId="20" fillId="0" borderId="2" xfId="0" applyFont="1" applyBorder="1" applyAlignment="1">
      <alignment horizontal="center" vertical="center"/>
    </xf>
    <xf numFmtId="0" fontId="20" fillId="9" borderId="2" xfId="0" applyFont="1" applyFill="1" applyBorder="1" applyAlignment="1">
      <alignment horizontal="center" vertical="center"/>
    </xf>
    <xf numFmtId="0" fontId="20" fillId="9" borderId="2" xfId="0" applyFont="1" applyFill="1" applyBorder="1" applyAlignment="1">
      <alignment horizontal="left" vertical="center" wrapText="1"/>
    </xf>
    <xf numFmtId="0" fontId="20" fillId="9" borderId="2" xfId="0" applyFont="1" applyFill="1" applyBorder="1" applyAlignment="1">
      <alignment horizontal="left" vertical="center"/>
    </xf>
    <xf numFmtId="0" fontId="20" fillId="9" borderId="2" xfId="0" applyFont="1" applyFill="1" applyBorder="1" applyAlignment="1">
      <alignment horizontal="center" vertical="center"/>
    </xf>
    <xf numFmtId="167" fontId="20" fillId="0" borderId="2" xfId="0" applyNumberFormat="1" applyFont="1" applyBorder="1" applyAlignment="1">
      <alignment horizontal="center" vertical="center"/>
    </xf>
    <xf numFmtId="167" fontId="20" fillId="9" borderId="2" xfId="0" applyNumberFormat="1" applyFont="1" applyFill="1" applyBorder="1" applyAlignment="1">
      <alignment horizontal="center" vertical="center"/>
    </xf>
    <xf numFmtId="0" fontId="12" fillId="6" borderId="2" xfId="0" applyFont="1" applyFill="1" applyBorder="1" applyAlignment="1">
      <alignment horizontal="center" vertical="center" wrapText="1"/>
    </xf>
    <xf numFmtId="164" fontId="14" fillId="8" borderId="2" xfId="0" applyNumberFormat="1" applyFont="1" applyFill="1" applyBorder="1" applyAlignment="1">
      <alignment horizontal="left" vertical="center" wrapText="1"/>
    </xf>
    <xf numFmtId="0" fontId="14" fillId="8" borderId="2" xfId="0" applyFont="1" applyFill="1" applyBorder="1" applyAlignment="1">
      <alignment horizontal="left" vertical="center" wrapText="1"/>
    </xf>
    <xf numFmtId="164" fontId="14" fillId="2" borderId="2" xfId="0" applyNumberFormat="1" applyFont="1" applyFill="1" applyBorder="1" applyAlignment="1">
      <alignment horizontal="left" vertical="center"/>
    </xf>
    <xf numFmtId="1" fontId="14" fillId="2" borderId="2" xfId="0" applyNumberFormat="1" applyFont="1" applyFill="1" applyBorder="1" applyAlignment="1">
      <alignment horizontal="left" vertical="center"/>
    </xf>
  </cellXfs>
  <cellStyles count="1">
    <cellStyle name="Normal" xfId="0" builtinId="0"/>
  </cellStyles>
  <dxfs count="13">
    <dxf>
      <font>
        <b/>
        <sz val="9"/>
        <color rgb="FF375623"/>
        <name val="Arial"/>
        <charset val="1"/>
      </font>
      <fill>
        <patternFill>
          <bgColor rgb="FFC6E0B4"/>
        </patternFill>
      </fill>
    </dxf>
    <dxf>
      <font>
        <b/>
        <sz val="9"/>
        <color rgb="FF9C0006"/>
        <name val="Arial"/>
        <charset val="1"/>
      </font>
      <fill>
        <patternFill>
          <bgColor rgb="FFF8CBAD"/>
        </patternFill>
      </fill>
    </dxf>
    <dxf>
      <font>
        <b/>
        <sz val="9"/>
        <color rgb="FF375623"/>
        <name val="Arial"/>
        <charset val="1"/>
      </font>
      <fill>
        <patternFill>
          <bgColor rgb="FFC6E0B4"/>
        </patternFill>
      </fill>
    </dxf>
    <dxf>
      <font>
        <b/>
        <sz val="9"/>
        <color rgb="FF9C0006"/>
        <name val="Arial"/>
        <charset val="1"/>
      </font>
      <fill>
        <patternFill>
          <bgColor rgb="FFF8CBAD"/>
        </patternFill>
      </fill>
    </dxf>
    <dxf>
      <font>
        <b/>
        <sz val="9"/>
        <color rgb="FF9C0006"/>
        <name val="Arial"/>
        <charset val="1"/>
      </font>
      <fill>
        <patternFill>
          <bgColor rgb="FFF8CBAD"/>
        </patternFill>
      </fill>
    </dxf>
    <dxf>
      <font>
        <b/>
        <sz val="9"/>
        <color rgb="FF375623"/>
        <name val="Arial"/>
        <charset val="1"/>
      </font>
      <fill>
        <patternFill>
          <bgColor rgb="FFC6E0B4"/>
        </patternFill>
      </fill>
    </dxf>
    <dxf>
      <font>
        <b/>
        <color rgb="FF375623"/>
        <name val="Arial"/>
        <charset val="1"/>
      </font>
      <fill>
        <patternFill>
          <bgColor rgb="FFC6E0B4"/>
        </patternFill>
      </fill>
    </dxf>
    <dxf>
      <font>
        <b/>
        <color rgb="FF9C0006"/>
        <name val="Arial"/>
        <charset val="1"/>
      </font>
      <fill>
        <patternFill>
          <bgColor rgb="FFF8CBAD"/>
        </patternFill>
      </fill>
    </dxf>
    <dxf>
      <font>
        <b/>
        <color rgb="FF375623"/>
        <name val="Arial"/>
        <charset val="1"/>
      </font>
      <fill>
        <patternFill>
          <bgColor rgb="FFC6E0B4"/>
        </patternFill>
      </fill>
    </dxf>
    <dxf>
      <font>
        <b/>
        <color rgb="FF9C0006"/>
        <name val="Arial"/>
        <charset val="1"/>
      </font>
      <fill>
        <patternFill>
          <bgColor rgb="FFF8CBAD"/>
        </patternFill>
      </fill>
    </dxf>
    <dxf>
      <font>
        <b/>
        <color rgb="FF9C0006"/>
        <name val="Arial"/>
        <charset val="1"/>
      </font>
      <fill>
        <patternFill>
          <bgColor rgb="FFF8CBAD"/>
        </patternFill>
      </fill>
    </dxf>
    <dxf>
      <font>
        <b/>
        <color rgb="FF375623"/>
        <name val="Arial"/>
        <charset val="1"/>
      </font>
      <fill>
        <patternFill>
          <bgColor rgb="FFC6E0B4"/>
        </patternFill>
      </fill>
    </dxf>
    <dxf>
      <fill>
        <patternFill>
          <bgColor rgb="FFF8CBAD"/>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7F7F7F"/>
      <rgbColor rgb="FF9999FF"/>
      <rgbColor rgb="FF993366"/>
      <rgbColor rgb="FFFFF2CC"/>
      <rgbColor rgb="FFF2F5FA"/>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C6E0B4"/>
      <rgbColor rgb="FFFFE699"/>
      <rgbColor rgb="FF99CCFF"/>
      <rgbColor rgb="FFFF99CC"/>
      <rgbColor rgb="FFCC99FF"/>
      <rgbColor rgb="FFF8CBAD"/>
      <rgbColor rgb="FF3366FF"/>
      <rgbColor rgb="FF33CCCC"/>
      <rgbColor rgb="FF99CC00"/>
      <rgbColor rgb="FFFFCC00"/>
      <rgbColor rgb="FFFF9900"/>
      <rgbColor rgb="FFFF6600"/>
      <rgbColor rgb="FF52514E"/>
      <rgbColor rgb="FFB7B7B7"/>
      <rgbColor rgb="FF1F3864"/>
      <rgbColor rgb="FF339966"/>
      <rgbColor rgb="FF003300"/>
      <rgbColor rgb="FF333300"/>
      <rgbColor rgb="FF993300"/>
      <rgbColor rgb="FF993366"/>
      <rgbColor rgb="FF333399"/>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25"/>
  <sheetViews>
    <sheetView showGridLines="0" topLeftCell="A7" zoomScaleNormal="100" workbookViewId="0">
      <selection activeCell="B24" sqref="B24"/>
    </sheetView>
  </sheetViews>
  <sheetFormatPr baseColWidth="10" defaultColWidth="8.7109375" defaultRowHeight="15" x14ac:dyDescent="0.25"/>
  <cols>
    <col min="1" max="1" width="4" style="5" customWidth="1"/>
    <col min="2" max="2" width="167.85546875" style="5" customWidth="1"/>
  </cols>
  <sheetData>
    <row r="2" spans="2:2" ht="19.5" customHeight="1" x14ac:dyDescent="0.3">
      <c r="B2" s="6" t="s">
        <v>0</v>
      </c>
    </row>
    <row r="4" spans="2:2" ht="15.75" customHeight="1" x14ac:dyDescent="0.25">
      <c r="B4" s="7" t="s">
        <v>1</v>
      </c>
    </row>
    <row r="5" spans="2:2" ht="60" customHeight="1" x14ac:dyDescent="0.25">
      <c r="B5" s="8" t="s">
        <v>2</v>
      </c>
    </row>
    <row r="7" spans="2:2" s="9" customFormat="1" ht="34.5" customHeight="1" x14ac:dyDescent="0.25">
      <c r="B7" s="10" t="s">
        <v>3</v>
      </c>
    </row>
    <row r="8" spans="2:2" s="9" customFormat="1" ht="34.5" customHeight="1" x14ac:dyDescent="0.25">
      <c r="B8" s="8" t="s">
        <v>4</v>
      </c>
    </row>
    <row r="9" spans="2:2" s="9" customFormat="1" ht="34.5" customHeight="1" x14ac:dyDescent="0.25">
      <c r="B9" s="8" t="s">
        <v>5</v>
      </c>
    </row>
    <row r="10" spans="2:2" s="9" customFormat="1" ht="34.5" customHeight="1" x14ac:dyDescent="0.25">
      <c r="B10" s="8" t="s">
        <v>6</v>
      </c>
    </row>
    <row r="11" spans="2:2" s="9" customFormat="1" ht="34.5" customHeight="1" x14ac:dyDescent="0.25">
      <c r="B11" s="8" t="s">
        <v>7</v>
      </c>
    </row>
    <row r="12" spans="2:2" s="9" customFormat="1" ht="34.5" customHeight="1" x14ac:dyDescent="0.25">
      <c r="B12" s="8" t="s">
        <v>8</v>
      </c>
    </row>
    <row r="13" spans="2:2" s="9" customFormat="1" ht="34.5" customHeight="1" x14ac:dyDescent="0.25">
      <c r="B13" s="8" t="s">
        <v>9</v>
      </c>
    </row>
    <row r="14" spans="2:2" s="9" customFormat="1" ht="34.5" customHeight="1" x14ac:dyDescent="0.25">
      <c r="B14" s="8" t="s">
        <v>10</v>
      </c>
    </row>
    <row r="15" spans="2:2" s="9" customFormat="1" ht="34.5" customHeight="1" x14ac:dyDescent="0.25">
      <c r="B15" s="8" t="s">
        <v>11</v>
      </c>
    </row>
    <row r="17" spans="1:2" ht="15.75" customHeight="1" x14ac:dyDescent="0.25">
      <c r="B17" s="7" t="s">
        <v>12</v>
      </c>
    </row>
    <row r="18" spans="1:2" ht="15" customHeight="1" x14ac:dyDescent="0.25">
      <c r="A18" s="11"/>
      <c r="B18" s="12" t="s">
        <v>13</v>
      </c>
    </row>
    <row r="19" spans="1:2" ht="15" customHeight="1" x14ac:dyDescent="0.25">
      <c r="A19" s="13"/>
      <c r="B19" s="12" t="s">
        <v>14</v>
      </c>
    </row>
    <row r="20" spans="1:2" ht="15" customHeight="1" x14ac:dyDescent="0.25">
      <c r="A20" s="14"/>
      <c r="B20" s="12" t="s">
        <v>15</v>
      </c>
    </row>
    <row r="21" spans="1:2" ht="15" customHeight="1" x14ac:dyDescent="0.25">
      <c r="A21" s="15"/>
      <c r="B21" s="12" t="s">
        <v>16</v>
      </c>
    </row>
    <row r="22" spans="1:2" ht="15" customHeight="1" x14ac:dyDescent="0.25">
      <c r="A22" s="16"/>
      <c r="B22" s="12" t="s">
        <v>17</v>
      </c>
    </row>
    <row r="23" spans="1:2" ht="26.25" customHeight="1" x14ac:dyDescent="0.25">
      <c r="B23" s="8" t="s">
        <v>18</v>
      </c>
    </row>
    <row r="24" spans="1:2" ht="26.25" customHeight="1" x14ac:dyDescent="0.25">
      <c r="B24" s="8" t="s">
        <v>19</v>
      </c>
    </row>
    <row r="25" spans="1:2" ht="26.25" customHeight="1" x14ac:dyDescent="0.25">
      <c r="B25" s="8" t="s">
        <v>20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9"/>
  <sheetViews>
    <sheetView showGridLines="0" zoomScaleNormal="100" workbookViewId="0"/>
  </sheetViews>
  <sheetFormatPr baseColWidth="10" defaultColWidth="8.7109375" defaultRowHeight="15" x14ac:dyDescent="0.25"/>
  <cols>
    <col min="1" max="3" width="30" style="5" customWidth="1"/>
  </cols>
  <sheetData>
    <row r="1" spans="1:3" ht="15" customHeight="1" x14ac:dyDescent="0.25">
      <c r="A1" s="17" t="s">
        <v>21</v>
      </c>
      <c r="B1" s="17" t="s">
        <v>22</v>
      </c>
      <c r="C1" s="17" t="s">
        <v>23</v>
      </c>
    </row>
    <row r="2" spans="1:3" ht="15" customHeight="1" x14ac:dyDescent="0.25">
      <c r="A2" s="5" t="s">
        <v>24</v>
      </c>
      <c r="B2" s="5" t="s">
        <v>25</v>
      </c>
      <c r="C2" s="5" t="s">
        <v>26</v>
      </c>
    </row>
    <row r="3" spans="1:3" ht="15" customHeight="1" x14ac:dyDescent="0.25">
      <c r="A3" s="5" t="s">
        <v>27</v>
      </c>
      <c r="B3" s="5" t="s">
        <v>28</v>
      </c>
      <c r="C3" s="5" t="s">
        <v>29</v>
      </c>
    </row>
    <row r="4" spans="1:3" ht="15" customHeight="1" x14ac:dyDescent="0.25">
      <c r="A4" s="5" t="s">
        <v>30</v>
      </c>
      <c r="B4" s="5" t="s">
        <v>31</v>
      </c>
      <c r="C4" s="5" t="s">
        <v>32</v>
      </c>
    </row>
    <row r="5" spans="1:3" ht="15" customHeight="1" x14ac:dyDescent="0.25">
      <c r="A5" s="5" t="s">
        <v>33</v>
      </c>
      <c r="B5" s="5" t="s">
        <v>34</v>
      </c>
      <c r="C5" s="5" t="s">
        <v>35</v>
      </c>
    </row>
    <row r="6" spans="1:3" ht="15" customHeight="1" x14ac:dyDescent="0.25">
      <c r="B6" s="5" t="s">
        <v>36</v>
      </c>
    </row>
    <row r="7" spans="1:3" ht="15" customHeight="1" x14ac:dyDescent="0.25">
      <c r="B7" s="5" t="s">
        <v>37</v>
      </c>
    </row>
    <row r="8" spans="1:3" ht="15" customHeight="1" x14ac:dyDescent="0.25">
      <c r="B8" s="5" t="s">
        <v>38</v>
      </c>
    </row>
    <row r="9" spans="1:3" ht="15" customHeight="1" x14ac:dyDescent="0.25">
      <c r="B9" s="5" t="s">
        <v>39</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79"/>
  <sheetViews>
    <sheetView showGridLines="0" tabSelected="1" zoomScale="90" zoomScaleNormal="90" workbookViewId="0">
      <pane xSplit="2" ySplit="10" topLeftCell="C44" activePane="bottomRight" state="frozen"/>
      <selection pane="topRight" activeCell="C1" sqref="C1"/>
      <selection pane="bottomLeft" activeCell="A44" sqref="A44"/>
      <selection pane="bottomRight" activeCell="I4" sqref="I4"/>
    </sheetView>
  </sheetViews>
  <sheetFormatPr baseColWidth="10" defaultColWidth="8.7109375" defaultRowHeight="15" x14ac:dyDescent="0.25"/>
  <cols>
    <col min="1" max="1" width="5" style="5" customWidth="1"/>
    <col min="2" max="2" width="28" style="5" customWidth="1"/>
    <col min="3" max="3" width="20" style="5" customWidth="1"/>
    <col min="4" max="5" width="12" style="5" customWidth="1"/>
    <col min="6" max="6" width="10" style="5" customWidth="1"/>
    <col min="7" max="7" width="12" style="5" customWidth="1"/>
    <col min="8" max="10" width="11" style="5" customWidth="1"/>
    <col min="11" max="13" width="10" style="5" customWidth="1"/>
    <col min="14" max="14" width="8" style="5" customWidth="1"/>
    <col min="15" max="16" width="10" style="5" customWidth="1"/>
    <col min="17" max="19" width="9" style="5" customWidth="1"/>
    <col min="20" max="20" width="11" style="5" customWidth="1"/>
    <col min="21" max="21" width="13" style="5" customWidth="1"/>
    <col min="22" max="22" width="9" style="5" customWidth="1"/>
    <col min="23" max="23" width="13" style="5" customWidth="1"/>
    <col min="24" max="24" width="20" style="5" customWidth="1"/>
    <col min="25" max="25" width="18" style="5" customWidth="1"/>
    <col min="26" max="26" width="13" style="5" hidden="1" customWidth="1"/>
  </cols>
  <sheetData>
    <row r="1" spans="1:26" ht="24" customHeight="1" x14ac:dyDescent="0.25">
      <c r="A1" s="4" t="s">
        <v>40</v>
      </c>
      <c r="B1" s="4"/>
      <c r="C1" s="4"/>
      <c r="D1" s="4"/>
      <c r="E1" s="4"/>
      <c r="F1" s="4"/>
      <c r="G1" s="4"/>
      <c r="H1" s="4"/>
      <c r="I1" s="4"/>
      <c r="J1" s="4"/>
      <c r="K1" s="4"/>
      <c r="L1" s="4"/>
      <c r="M1" s="4"/>
      <c r="N1" s="4"/>
      <c r="O1" s="4"/>
      <c r="P1" s="4"/>
      <c r="Q1" s="4"/>
      <c r="R1" s="4"/>
      <c r="S1" s="4"/>
      <c r="T1" s="4"/>
      <c r="U1" s="4"/>
      <c r="V1" s="4"/>
      <c r="W1" s="4"/>
      <c r="X1" s="4"/>
    </row>
    <row r="3" spans="1:26" ht="15" customHeight="1" x14ac:dyDescent="0.25">
      <c r="A3" s="18" t="s">
        <v>41</v>
      </c>
      <c r="D3" s="17" t="s">
        <v>42</v>
      </c>
      <c r="E3" s="19">
        <f ca="1">TODAY()</f>
        <v>46265</v>
      </c>
    </row>
    <row r="4" spans="1:26" ht="15" customHeight="1" x14ac:dyDescent="0.25">
      <c r="A4" s="20" t="s">
        <v>43</v>
      </c>
      <c r="B4" s="21">
        <v>4.1099999999999998E-2</v>
      </c>
      <c r="D4" s="17" t="s">
        <v>44</v>
      </c>
      <c r="E4" s="22" t="s">
        <v>45</v>
      </c>
    </row>
    <row r="5" spans="1:26" ht="15" customHeight="1" x14ac:dyDescent="0.25">
      <c r="A5" s="20" t="s">
        <v>46</v>
      </c>
      <c r="B5" s="21">
        <v>0.31290000000000001</v>
      </c>
    </row>
    <row r="6" spans="1:26" ht="15" customHeight="1" x14ac:dyDescent="0.25">
      <c r="A6" s="20" t="s">
        <v>47</v>
      </c>
      <c r="B6" s="21">
        <v>0.56910000000000005</v>
      </c>
    </row>
    <row r="7" spans="1:26" ht="15" customHeight="1" x14ac:dyDescent="0.25">
      <c r="A7" s="20" t="s">
        <v>48</v>
      </c>
      <c r="B7" s="21">
        <v>7.6899999999999996E-2</v>
      </c>
    </row>
    <row r="8" spans="1:26" ht="15" customHeight="1" x14ac:dyDescent="0.25">
      <c r="A8" s="22" t="s">
        <v>49</v>
      </c>
      <c r="B8" s="23">
        <f>SUM(B4:B7)</f>
        <v>1</v>
      </c>
    </row>
    <row r="9" spans="1:26" ht="21.75" customHeight="1" x14ac:dyDescent="0.25">
      <c r="N9" s="24" t="s">
        <v>50</v>
      </c>
      <c r="O9" s="24" t="s">
        <v>51</v>
      </c>
      <c r="P9" s="24" t="s">
        <v>52</v>
      </c>
      <c r="Q9" s="24" t="s">
        <v>53</v>
      </c>
      <c r="R9" s="24" t="s">
        <v>54</v>
      </c>
      <c r="S9" s="24" t="s">
        <v>55</v>
      </c>
    </row>
    <row r="10" spans="1:26" ht="48" customHeight="1" x14ac:dyDescent="0.25">
      <c r="A10" s="25" t="s">
        <v>56</v>
      </c>
      <c r="B10" s="25" t="s">
        <v>57</v>
      </c>
      <c r="C10" s="25" t="s">
        <v>21</v>
      </c>
      <c r="D10" s="25" t="s">
        <v>22</v>
      </c>
      <c r="E10" s="25" t="s">
        <v>58</v>
      </c>
      <c r="F10" s="25" t="s">
        <v>59</v>
      </c>
      <c r="G10" s="25" t="s">
        <v>60</v>
      </c>
      <c r="H10" s="25" t="s">
        <v>61</v>
      </c>
      <c r="I10" s="25" t="s">
        <v>62</v>
      </c>
      <c r="J10" s="25" t="s">
        <v>63</v>
      </c>
      <c r="K10" s="25" t="s">
        <v>64</v>
      </c>
      <c r="L10" s="25" t="s">
        <v>65</v>
      </c>
      <c r="M10" s="25" t="s">
        <v>66</v>
      </c>
      <c r="N10" s="26">
        <f>MIN(E11:E79)</f>
        <v>14</v>
      </c>
      <c r="O10" s="26">
        <f>MAX(E11:E79)</f>
        <v>142800</v>
      </c>
      <c r="P10" s="25">
        <f>MIN(H11:H79)</f>
        <v>0.08</v>
      </c>
      <c r="Q10" s="25">
        <f>MAX(H11:H79)</f>
        <v>20</v>
      </c>
      <c r="R10" s="25">
        <f>MIN(L11:L79)</f>
        <v>1</v>
      </c>
      <c r="S10" s="25">
        <f>MAX(L11:L79)</f>
        <v>10</v>
      </c>
      <c r="T10" s="25" t="s">
        <v>67</v>
      </c>
      <c r="U10" s="25" t="s">
        <v>68</v>
      </c>
      <c r="V10" s="25" t="s">
        <v>69</v>
      </c>
      <c r="W10" s="25" t="s">
        <v>70</v>
      </c>
      <c r="X10" s="25" t="s">
        <v>71</v>
      </c>
      <c r="Y10" s="27" t="s">
        <v>72</v>
      </c>
    </row>
    <row r="11" spans="1:26" ht="24" customHeight="1" x14ac:dyDescent="0.25">
      <c r="A11" s="28">
        <v>0</v>
      </c>
      <c r="B11" s="29" t="s">
        <v>73</v>
      </c>
      <c r="C11" s="28" t="s">
        <v>24</v>
      </c>
      <c r="D11" s="28"/>
      <c r="E11" s="30">
        <v>15000</v>
      </c>
      <c r="F11" s="28">
        <v>1</v>
      </c>
      <c r="G11" s="30">
        <f t="shared" ref="G11:G42" si="0">IF(OR(E11="",F11=""),"",E11*F11)</f>
        <v>15000</v>
      </c>
      <c r="H11" s="28">
        <v>8</v>
      </c>
      <c r="I11" s="28"/>
      <c r="J11" s="30" t="str">
        <f t="shared" ref="J11:J42" si="1">IF(OR(G11="",I11=""),"",G11/I11)</f>
        <v/>
      </c>
      <c r="K11" s="28">
        <v>4</v>
      </c>
      <c r="L11" s="28">
        <v>10</v>
      </c>
      <c r="M11" s="31">
        <f t="shared" ref="M11:M42" si="2">IF(OR(E11="",H11="",K11="",L11=""),"",$B$4*(IF($O$10=$N$10,0,(E11-$N$10)/($O$10-$N$10)))+$B$5*(IF($Q$10=$P$10,0,(H11-$P$10)/($Q$10-$P$10)))+$B$6*((K11-1)/4)+$B$7*(IF($S$10=$R$10,0,(L11-$R$10)/($S$10-$R$10))))</f>
        <v>0.63244464447933624</v>
      </c>
      <c r="N11" s="28"/>
      <c r="O11" s="32" t="str">
        <f t="shared" ref="O11:O42" si="3">IF(N11="","",SUMIFS($M$12:$M$79,$N$12:$N$79,"&lt;="&amp;N11)/SUM($M$12:$M$79))</f>
        <v/>
      </c>
      <c r="P11" s="28" t="str">
        <f t="shared" ref="P11:P42" si="4">IF(N11="","",IF(N11&lt;=ROUNDUP(0.2*COUNT($M$12:$M$79),0),"A",IF(N11&lt;=ROUNDUP(0.5*COUNT($M$12:$M$79),0),"B","C")))</f>
        <v/>
      </c>
      <c r="Q11" s="33" t="str">
        <f t="shared" ref="Q11:Q42" si="5">IF(P11="","",IF(P11="A",0.5,IF(P11="B",0.3,IF(P11="C",0.15,""))))</f>
        <v/>
      </c>
      <c r="R11" s="34">
        <f>IF(B11="","",SUMIFS('Registro de Ingresos'!$C:$C,'Registro de Ingresos'!$B:$B,B11)-SUMIFS('Registro de Egresos'!$C:$C,'Registro de Egresos'!$B:$B,B11))</f>
        <v>0</v>
      </c>
      <c r="S11" s="35" t="str">
        <f t="shared" ref="S11:S42" si="6">IF(OR(H11="",L11="",Q11="",F11="",F11=0),"",CEILING((H11/30*L11)*(1+Q11),F11))</f>
        <v/>
      </c>
      <c r="T11" s="28" t="str">
        <f t="shared" ref="T11:T42" si="7">IF(OR(R11="",S11=""),"",IF(R11&lt;=S11,"REPONER AHORA","OK"))</f>
        <v/>
      </c>
      <c r="U11" s="36" t="str">
        <f t="shared" ref="U11:U42" si="8">IF(OR(R11="",S11="",H11=""),"",IF(H11=0,"",$E$3+MAX(0,(R11-S11)/(H11/30))))</f>
        <v/>
      </c>
      <c r="V11" s="28" t="str">
        <f t="shared" ref="V11:V42" si="9">IF(U11="","",DAY(U11))</f>
        <v/>
      </c>
      <c r="W11" s="28" t="str">
        <f t="shared" ref="W11:W42" si="10">IF(V11="","",IF(V11&gt;20,"FUERA DE VENTANA","DENTRO DE VENTANA"))</f>
        <v/>
      </c>
      <c r="X11" s="28"/>
      <c r="Y11" s="37" t="s">
        <v>74</v>
      </c>
      <c r="Z11" s="5">
        <f t="shared" ref="Z11:Z42" si="11">IF(M11="","",M11+ROW()/100000000)</f>
        <v>0.63244475447933624</v>
      </c>
    </row>
    <row r="12" spans="1:26" ht="21.75" customHeight="1" x14ac:dyDescent="0.25">
      <c r="A12" s="38">
        <v>1</v>
      </c>
      <c r="B12" s="39" t="s">
        <v>75</v>
      </c>
      <c r="C12" s="40" t="s">
        <v>76</v>
      </c>
      <c r="D12" s="40" t="s">
        <v>25</v>
      </c>
      <c r="E12" s="41">
        <v>6228</v>
      </c>
      <c r="F12" s="40"/>
      <c r="G12" s="42" t="str">
        <f t="shared" si="0"/>
        <v/>
      </c>
      <c r="H12" s="40"/>
      <c r="I12" s="40"/>
      <c r="J12" s="42" t="str">
        <f t="shared" si="1"/>
        <v/>
      </c>
      <c r="K12" s="40"/>
      <c r="L12" s="40"/>
      <c r="M12" s="43" t="str">
        <f t="shared" si="2"/>
        <v/>
      </c>
      <c r="N12" s="38" t="str">
        <f t="shared" ref="N12:N43" si="12">IF(Z12="","",RANK(Z12,$Z$12:$Z$79,0))</f>
        <v/>
      </c>
      <c r="O12" s="44" t="str">
        <f t="shared" si="3"/>
        <v/>
      </c>
      <c r="P12" s="38" t="str">
        <f t="shared" si="4"/>
        <v/>
      </c>
      <c r="Q12" s="45" t="str">
        <f t="shared" si="5"/>
        <v/>
      </c>
      <c r="R12" s="34">
        <f>IF(B12="","",SUMIFS('Registro de Ingresos'!$C:$C,'Registro de Ingresos'!$B:$B,B12)-SUMIFS('Registro de Egresos'!$C:$C,'Registro de Egresos'!$B:$B,B12))</f>
        <v>0</v>
      </c>
      <c r="S12" s="46" t="str">
        <f t="shared" si="6"/>
        <v/>
      </c>
      <c r="T12" s="38" t="str">
        <f t="shared" si="7"/>
        <v/>
      </c>
      <c r="U12" s="47" t="str">
        <f t="shared" si="8"/>
        <v/>
      </c>
      <c r="V12" s="38" t="str">
        <f t="shared" si="9"/>
        <v/>
      </c>
      <c r="W12" s="38" t="str">
        <f t="shared" si="10"/>
        <v/>
      </c>
      <c r="X12" s="40"/>
      <c r="Y12" s="48"/>
      <c r="Z12" s="5" t="str">
        <f t="shared" si="11"/>
        <v/>
      </c>
    </row>
    <row r="13" spans="1:26" ht="21.75" customHeight="1" x14ac:dyDescent="0.25">
      <c r="A13" s="38">
        <v>2</v>
      </c>
      <c r="B13" s="39" t="s">
        <v>77</v>
      </c>
      <c r="C13" s="40" t="s">
        <v>76</v>
      </c>
      <c r="D13" s="40" t="s">
        <v>25</v>
      </c>
      <c r="E13" s="41">
        <v>6228</v>
      </c>
      <c r="F13" s="40"/>
      <c r="G13" s="42" t="str">
        <f t="shared" si="0"/>
        <v/>
      </c>
      <c r="H13" s="40"/>
      <c r="I13" s="40"/>
      <c r="J13" s="42" t="str">
        <f t="shared" si="1"/>
        <v/>
      </c>
      <c r="K13" s="40"/>
      <c r="L13" s="40"/>
      <c r="M13" s="43" t="str">
        <f t="shared" si="2"/>
        <v/>
      </c>
      <c r="N13" s="38" t="str">
        <f t="shared" si="12"/>
        <v/>
      </c>
      <c r="O13" s="44" t="str">
        <f t="shared" si="3"/>
        <v/>
      </c>
      <c r="P13" s="38" t="str">
        <f t="shared" si="4"/>
        <v/>
      </c>
      <c r="Q13" s="45" t="str">
        <f t="shared" si="5"/>
        <v/>
      </c>
      <c r="R13" s="34">
        <f>IF(B13="","",SUMIFS('Registro de Ingresos'!$C:$C,'Registro de Ingresos'!$B:$B,B13)-SUMIFS('Registro de Egresos'!$C:$C,'Registro de Egresos'!$B:$B,B13))</f>
        <v>0</v>
      </c>
      <c r="S13" s="46" t="str">
        <f t="shared" si="6"/>
        <v/>
      </c>
      <c r="T13" s="38" t="str">
        <f t="shared" si="7"/>
        <v/>
      </c>
      <c r="U13" s="47" t="str">
        <f t="shared" si="8"/>
        <v/>
      </c>
      <c r="V13" s="38" t="str">
        <f t="shared" si="9"/>
        <v/>
      </c>
      <c r="W13" s="38" t="str">
        <f t="shared" si="10"/>
        <v/>
      </c>
      <c r="X13" s="40"/>
      <c r="Y13" s="48"/>
      <c r="Z13" s="5" t="str">
        <f t="shared" si="11"/>
        <v/>
      </c>
    </row>
    <row r="14" spans="1:26" ht="21.75" customHeight="1" x14ac:dyDescent="0.25">
      <c r="A14" s="38">
        <v>3</v>
      </c>
      <c r="B14" s="39" t="s">
        <v>78</v>
      </c>
      <c r="C14" s="40" t="s">
        <v>76</v>
      </c>
      <c r="D14" s="40" t="s">
        <v>25</v>
      </c>
      <c r="E14" s="41">
        <v>7093</v>
      </c>
      <c r="F14" s="40"/>
      <c r="G14" s="42" t="str">
        <f t="shared" si="0"/>
        <v/>
      </c>
      <c r="H14" s="40"/>
      <c r="I14" s="40"/>
      <c r="J14" s="42" t="str">
        <f t="shared" si="1"/>
        <v/>
      </c>
      <c r="K14" s="40"/>
      <c r="L14" s="40"/>
      <c r="M14" s="43" t="str">
        <f t="shared" si="2"/>
        <v/>
      </c>
      <c r="N14" s="38" t="str">
        <f t="shared" si="12"/>
        <v/>
      </c>
      <c r="O14" s="44" t="str">
        <f t="shared" si="3"/>
        <v/>
      </c>
      <c r="P14" s="38" t="str">
        <f t="shared" si="4"/>
        <v/>
      </c>
      <c r="Q14" s="45" t="str">
        <f t="shared" si="5"/>
        <v/>
      </c>
      <c r="R14" s="34">
        <f>IF(B14="","",SUMIFS('Registro de Ingresos'!$C:$C,'Registro de Ingresos'!$B:$B,B14)-SUMIFS('Registro de Egresos'!$C:$C,'Registro de Egresos'!$B:$B,B14))</f>
        <v>0</v>
      </c>
      <c r="S14" s="46" t="str">
        <f t="shared" si="6"/>
        <v/>
      </c>
      <c r="T14" s="38" t="str">
        <f t="shared" si="7"/>
        <v/>
      </c>
      <c r="U14" s="47" t="str">
        <f t="shared" si="8"/>
        <v/>
      </c>
      <c r="V14" s="38" t="str">
        <f t="shared" si="9"/>
        <v/>
      </c>
      <c r="W14" s="38" t="str">
        <f t="shared" si="10"/>
        <v/>
      </c>
      <c r="X14" s="40"/>
      <c r="Y14" s="48"/>
      <c r="Z14" s="5" t="str">
        <f t="shared" si="11"/>
        <v/>
      </c>
    </row>
    <row r="15" spans="1:26" ht="21.75" customHeight="1" x14ac:dyDescent="0.25">
      <c r="A15" s="38">
        <v>4</v>
      </c>
      <c r="B15" s="39" t="s">
        <v>79</v>
      </c>
      <c r="C15" s="40" t="s">
        <v>76</v>
      </c>
      <c r="D15" s="40" t="s">
        <v>80</v>
      </c>
      <c r="E15" s="41">
        <v>156</v>
      </c>
      <c r="F15" s="40"/>
      <c r="G15" s="42" t="str">
        <f t="shared" si="0"/>
        <v/>
      </c>
      <c r="H15" s="40"/>
      <c r="I15" s="40"/>
      <c r="J15" s="42" t="str">
        <f t="shared" si="1"/>
        <v/>
      </c>
      <c r="K15" s="40"/>
      <c r="L15" s="40"/>
      <c r="M15" s="43" t="str">
        <f t="shared" si="2"/>
        <v/>
      </c>
      <c r="N15" s="38" t="str">
        <f t="shared" si="12"/>
        <v/>
      </c>
      <c r="O15" s="44" t="str">
        <f t="shared" si="3"/>
        <v/>
      </c>
      <c r="P15" s="38" t="str">
        <f t="shared" si="4"/>
        <v/>
      </c>
      <c r="Q15" s="45" t="str">
        <f t="shared" si="5"/>
        <v/>
      </c>
      <c r="R15" s="34">
        <f>IF(B15="","",SUMIFS('Registro de Ingresos'!$C:$C,'Registro de Ingresos'!$B:$B,B15)-SUMIFS('Registro de Egresos'!$C:$C,'Registro de Egresos'!$B:$B,B15))</f>
        <v>0</v>
      </c>
      <c r="S15" s="46" t="str">
        <f t="shared" si="6"/>
        <v/>
      </c>
      <c r="T15" s="38" t="str">
        <f t="shared" si="7"/>
        <v/>
      </c>
      <c r="U15" s="47" t="str">
        <f t="shared" si="8"/>
        <v/>
      </c>
      <c r="V15" s="38" t="str">
        <f t="shared" si="9"/>
        <v/>
      </c>
      <c r="W15" s="38" t="str">
        <f t="shared" si="10"/>
        <v/>
      </c>
      <c r="X15" s="40"/>
      <c r="Y15" s="48"/>
      <c r="Z15" s="5" t="str">
        <f t="shared" si="11"/>
        <v/>
      </c>
    </row>
    <row r="16" spans="1:26" ht="21.75" customHeight="1" x14ac:dyDescent="0.25">
      <c r="A16" s="38">
        <v>5</v>
      </c>
      <c r="B16" s="39" t="s">
        <v>81</v>
      </c>
      <c r="C16" s="40" t="s">
        <v>76</v>
      </c>
      <c r="D16" s="40" t="s">
        <v>80</v>
      </c>
      <c r="E16" s="41">
        <v>156</v>
      </c>
      <c r="F16" s="40"/>
      <c r="G16" s="42" t="str">
        <f t="shared" si="0"/>
        <v/>
      </c>
      <c r="H16" s="40"/>
      <c r="I16" s="40"/>
      <c r="J16" s="42" t="str">
        <f t="shared" si="1"/>
        <v/>
      </c>
      <c r="K16" s="40"/>
      <c r="L16" s="40"/>
      <c r="M16" s="43" t="str">
        <f t="shared" si="2"/>
        <v/>
      </c>
      <c r="N16" s="38" t="str">
        <f t="shared" si="12"/>
        <v/>
      </c>
      <c r="O16" s="44" t="str">
        <f t="shared" si="3"/>
        <v/>
      </c>
      <c r="P16" s="38" t="str">
        <f t="shared" si="4"/>
        <v/>
      </c>
      <c r="Q16" s="45" t="str">
        <f t="shared" si="5"/>
        <v/>
      </c>
      <c r="R16" s="34">
        <f>IF(B16="","",SUMIFS('Registro de Ingresos'!$C:$C,'Registro de Ingresos'!$B:$B,B16)-SUMIFS('Registro de Egresos'!$C:$C,'Registro de Egresos'!$B:$B,B16))</f>
        <v>0</v>
      </c>
      <c r="S16" s="46" t="str">
        <f t="shared" si="6"/>
        <v/>
      </c>
      <c r="T16" s="38" t="str">
        <f t="shared" si="7"/>
        <v/>
      </c>
      <c r="U16" s="47" t="str">
        <f t="shared" si="8"/>
        <v/>
      </c>
      <c r="V16" s="38" t="str">
        <f t="shared" si="9"/>
        <v/>
      </c>
      <c r="W16" s="38" t="str">
        <f t="shared" si="10"/>
        <v/>
      </c>
      <c r="X16" s="40"/>
      <c r="Y16" s="48"/>
      <c r="Z16" s="5" t="str">
        <f t="shared" si="11"/>
        <v/>
      </c>
    </row>
    <row r="17" spans="1:26" ht="21.75" customHeight="1" x14ac:dyDescent="0.25">
      <c r="A17" s="38">
        <v>6</v>
      </c>
      <c r="B17" s="39" t="s">
        <v>82</v>
      </c>
      <c r="C17" s="40" t="s">
        <v>76</v>
      </c>
      <c r="D17" s="40" t="s">
        <v>80</v>
      </c>
      <c r="E17" s="41">
        <v>156</v>
      </c>
      <c r="F17" s="40"/>
      <c r="G17" s="42" t="str">
        <f t="shared" si="0"/>
        <v/>
      </c>
      <c r="H17" s="40"/>
      <c r="I17" s="40"/>
      <c r="J17" s="42" t="str">
        <f t="shared" si="1"/>
        <v/>
      </c>
      <c r="K17" s="40"/>
      <c r="L17" s="40"/>
      <c r="M17" s="43" t="str">
        <f t="shared" si="2"/>
        <v/>
      </c>
      <c r="N17" s="38" t="str">
        <f t="shared" si="12"/>
        <v/>
      </c>
      <c r="O17" s="44" t="str">
        <f t="shared" si="3"/>
        <v/>
      </c>
      <c r="P17" s="38" t="str">
        <f t="shared" si="4"/>
        <v/>
      </c>
      <c r="Q17" s="45" t="str">
        <f t="shared" si="5"/>
        <v/>
      </c>
      <c r="R17" s="34">
        <f>IF(B17="","",SUMIFS('Registro de Ingresos'!$C:$C,'Registro de Ingresos'!$B:$B,B17)-SUMIFS('Registro de Egresos'!$C:$C,'Registro de Egresos'!$B:$B,B17))</f>
        <v>0</v>
      </c>
      <c r="S17" s="46" t="str">
        <f t="shared" si="6"/>
        <v/>
      </c>
      <c r="T17" s="38" t="str">
        <f t="shared" si="7"/>
        <v/>
      </c>
      <c r="U17" s="47" t="str">
        <f t="shared" si="8"/>
        <v/>
      </c>
      <c r="V17" s="38" t="str">
        <f t="shared" si="9"/>
        <v/>
      </c>
      <c r="W17" s="38" t="str">
        <f t="shared" si="10"/>
        <v/>
      </c>
      <c r="X17" s="40"/>
      <c r="Y17" s="48"/>
      <c r="Z17" s="5" t="str">
        <f t="shared" si="11"/>
        <v/>
      </c>
    </row>
    <row r="18" spans="1:26" ht="21.75" customHeight="1" x14ac:dyDescent="0.25">
      <c r="A18" s="38">
        <v>7</v>
      </c>
      <c r="B18" s="39" t="s">
        <v>83</v>
      </c>
      <c r="C18" s="40" t="s">
        <v>76</v>
      </c>
      <c r="D18" s="40" t="s">
        <v>80</v>
      </c>
      <c r="E18" s="41">
        <v>57090</v>
      </c>
      <c r="F18" s="40"/>
      <c r="G18" s="42" t="str">
        <f t="shared" si="0"/>
        <v/>
      </c>
      <c r="H18" s="40"/>
      <c r="I18" s="40"/>
      <c r="J18" s="42" t="str">
        <f t="shared" si="1"/>
        <v/>
      </c>
      <c r="K18" s="40"/>
      <c r="L18" s="40"/>
      <c r="M18" s="43" t="str">
        <f t="shared" si="2"/>
        <v/>
      </c>
      <c r="N18" s="38" t="str">
        <f t="shared" si="12"/>
        <v/>
      </c>
      <c r="O18" s="44" t="str">
        <f t="shared" si="3"/>
        <v/>
      </c>
      <c r="P18" s="38" t="str">
        <f t="shared" si="4"/>
        <v/>
      </c>
      <c r="Q18" s="45" t="str">
        <f t="shared" si="5"/>
        <v/>
      </c>
      <c r="R18" s="34">
        <f>IF(B18="","",SUMIFS('Registro de Ingresos'!$C:$C,'Registro de Ingresos'!$B:$B,B18)-SUMIFS('Registro de Egresos'!$C:$C,'Registro de Egresos'!$B:$B,B18))</f>
        <v>0</v>
      </c>
      <c r="S18" s="46" t="str">
        <f t="shared" si="6"/>
        <v/>
      </c>
      <c r="T18" s="38" t="str">
        <f t="shared" si="7"/>
        <v/>
      </c>
      <c r="U18" s="47" t="str">
        <f t="shared" si="8"/>
        <v/>
      </c>
      <c r="V18" s="38" t="str">
        <f t="shared" si="9"/>
        <v/>
      </c>
      <c r="W18" s="38" t="str">
        <f t="shared" si="10"/>
        <v/>
      </c>
      <c r="X18" s="40"/>
      <c r="Y18" s="48"/>
      <c r="Z18" s="5" t="str">
        <f t="shared" si="11"/>
        <v/>
      </c>
    </row>
    <row r="19" spans="1:26" ht="21.75" customHeight="1" x14ac:dyDescent="0.25">
      <c r="A19" s="38">
        <v>8</v>
      </c>
      <c r="B19" s="39" t="s">
        <v>84</v>
      </c>
      <c r="C19" s="40" t="s">
        <v>76</v>
      </c>
      <c r="D19" s="40" t="s">
        <v>37</v>
      </c>
      <c r="E19" s="41">
        <v>606</v>
      </c>
      <c r="F19" s="40"/>
      <c r="G19" s="42" t="str">
        <f t="shared" si="0"/>
        <v/>
      </c>
      <c r="H19" s="40"/>
      <c r="I19" s="40"/>
      <c r="J19" s="42" t="str">
        <f t="shared" si="1"/>
        <v/>
      </c>
      <c r="K19" s="40"/>
      <c r="L19" s="40"/>
      <c r="M19" s="43" t="str">
        <f t="shared" si="2"/>
        <v/>
      </c>
      <c r="N19" s="38" t="str">
        <f t="shared" si="12"/>
        <v/>
      </c>
      <c r="O19" s="44" t="str">
        <f t="shared" si="3"/>
        <v/>
      </c>
      <c r="P19" s="38" t="str">
        <f t="shared" si="4"/>
        <v/>
      </c>
      <c r="Q19" s="45" t="str">
        <f t="shared" si="5"/>
        <v/>
      </c>
      <c r="R19" s="34">
        <f>IF(B19="","",SUMIFS('Registro de Ingresos'!$C:$C,'Registro de Ingresos'!$B:$B,B19)-SUMIFS('Registro de Egresos'!$C:$C,'Registro de Egresos'!$B:$B,B19))</f>
        <v>0</v>
      </c>
      <c r="S19" s="46" t="str">
        <f t="shared" si="6"/>
        <v/>
      </c>
      <c r="T19" s="38" t="str">
        <f t="shared" si="7"/>
        <v/>
      </c>
      <c r="U19" s="47" t="str">
        <f t="shared" si="8"/>
        <v/>
      </c>
      <c r="V19" s="38" t="str">
        <f t="shared" si="9"/>
        <v/>
      </c>
      <c r="W19" s="38" t="str">
        <f t="shared" si="10"/>
        <v/>
      </c>
      <c r="X19" s="40"/>
      <c r="Y19" s="48"/>
      <c r="Z19" s="5" t="str">
        <f t="shared" si="11"/>
        <v/>
      </c>
    </row>
    <row r="20" spans="1:26" ht="21.75" customHeight="1" x14ac:dyDescent="0.25">
      <c r="A20" s="38">
        <v>9</v>
      </c>
      <c r="B20" s="39" t="s">
        <v>85</v>
      </c>
      <c r="C20" s="40" t="s">
        <v>76</v>
      </c>
      <c r="D20" s="40" t="s">
        <v>37</v>
      </c>
      <c r="E20" s="41">
        <v>606</v>
      </c>
      <c r="F20" s="40"/>
      <c r="G20" s="42" t="str">
        <f t="shared" si="0"/>
        <v/>
      </c>
      <c r="H20" s="40"/>
      <c r="I20" s="40"/>
      <c r="J20" s="42" t="str">
        <f t="shared" si="1"/>
        <v/>
      </c>
      <c r="K20" s="40"/>
      <c r="L20" s="40"/>
      <c r="M20" s="43" t="str">
        <f t="shared" si="2"/>
        <v/>
      </c>
      <c r="N20" s="38" t="str">
        <f t="shared" si="12"/>
        <v/>
      </c>
      <c r="O20" s="44" t="str">
        <f t="shared" si="3"/>
        <v/>
      </c>
      <c r="P20" s="38" t="str">
        <f t="shared" si="4"/>
        <v/>
      </c>
      <c r="Q20" s="45" t="str">
        <f t="shared" si="5"/>
        <v/>
      </c>
      <c r="R20" s="34">
        <f>IF(B20="","",SUMIFS('Registro de Ingresos'!$C:$C,'Registro de Ingresos'!$B:$B,B20)-SUMIFS('Registro de Egresos'!$C:$C,'Registro de Egresos'!$B:$B,B20))</f>
        <v>0</v>
      </c>
      <c r="S20" s="46" t="str">
        <f t="shared" si="6"/>
        <v/>
      </c>
      <c r="T20" s="38" t="str">
        <f t="shared" si="7"/>
        <v/>
      </c>
      <c r="U20" s="47" t="str">
        <f t="shared" si="8"/>
        <v/>
      </c>
      <c r="V20" s="38" t="str">
        <f t="shared" si="9"/>
        <v/>
      </c>
      <c r="W20" s="38" t="str">
        <f t="shared" si="10"/>
        <v/>
      </c>
      <c r="X20" s="40"/>
      <c r="Y20" s="48"/>
      <c r="Z20" s="5" t="str">
        <f t="shared" si="11"/>
        <v/>
      </c>
    </row>
    <row r="21" spans="1:26" ht="21.75" customHeight="1" x14ac:dyDescent="0.25">
      <c r="A21" s="38">
        <v>10</v>
      </c>
      <c r="B21" s="39" t="s">
        <v>86</v>
      </c>
      <c r="C21" s="40" t="s">
        <v>76</v>
      </c>
      <c r="D21" s="40" t="s">
        <v>37</v>
      </c>
      <c r="E21" s="41">
        <v>606</v>
      </c>
      <c r="F21" s="40"/>
      <c r="G21" s="42" t="str">
        <f t="shared" si="0"/>
        <v/>
      </c>
      <c r="H21" s="40"/>
      <c r="I21" s="40"/>
      <c r="J21" s="42" t="str">
        <f t="shared" si="1"/>
        <v/>
      </c>
      <c r="K21" s="40"/>
      <c r="L21" s="40"/>
      <c r="M21" s="43" t="str">
        <f t="shared" si="2"/>
        <v/>
      </c>
      <c r="N21" s="38" t="str">
        <f t="shared" si="12"/>
        <v/>
      </c>
      <c r="O21" s="44" t="str">
        <f t="shared" si="3"/>
        <v/>
      </c>
      <c r="P21" s="38" t="str">
        <f t="shared" si="4"/>
        <v/>
      </c>
      <c r="Q21" s="45" t="str">
        <f t="shared" si="5"/>
        <v/>
      </c>
      <c r="R21" s="34">
        <f>IF(B21="","",SUMIFS('Registro de Ingresos'!$C:$C,'Registro de Ingresos'!$B:$B,B21)-SUMIFS('Registro de Egresos'!$C:$C,'Registro de Egresos'!$B:$B,B21))</f>
        <v>0</v>
      </c>
      <c r="S21" s="46" t="str">
        <f t="shared" si="6"/>
        <v/>
      </c>
      <c r="T21" s="38" t="str">
        <f t="shared" si="7"/>
        <v/>
      </c>
      <c r="U21" s="47" t="str">
        <f t="shared" si="8"/>
        <v/>
      </c>
      <c r="V21" s="38" t="str">
        <f t="shared" si="9"/>
        <v/>
      </c>
      <c r="W21" s="38" t="str">
        <f t="shared" si="10"/>
        <v/>
      </c>
      <c r="X21" s="40"/>
      <c r="Y21" s="48"/>
      <c r="Z21" s="5" t="str">
        <f t="shared" si="11"/>
        <v/>
      </c>
    </row>
    <row r="22" spans="1:26" ht="21.75" customHeight="1" x14ac:dyDescent="0.25">
      <c r="A22" s="38">
        <v>11</v>
      </c>
      <c r="B22" s="39" t="s">
        <v>87</v>
      </c>
      <c r="C22" s="40" t="s">
        <v>76</v>
      </c>
      <c r="D22" s="40" t="s">
        <v>37</v>
      </c>
      <c r="E22" s="41">
        <v>606</v>
      </c>
      <c r="F22" s="40"/>
      <c r="G22" s="42" t="str">
        <f t="shared" si="0"/>
        <v/>
      </c>
      <c r="H22" s="40"/>
      <c r="I22" s="40"/>
      <c r="J22" s="42" t="str">
        <f t="shared" si="1"/>
        <v/>
      </c>
      <c r="K22" s="40"/>
      <c r="L22" s="40"/>
      <c r="M22" s="43" t="str">
        <f t="shared" si="2"/>
        <v/>
      </c>
      <c r="N22" s="38" t="str">
        <f t="shared" si="12"/>
        <v/>
      </c>
      <c r="O22" s="44" t="str">
        <f t="shared" si="3"/>
        <v/>
      </c>
      <c r="P22" s="38" t="str">
        <f t="shared" si="4"/>
        <v/>
      </c>
      <c r="Q22" s="45" t="str">
        <f t="shared" si="5"/>
        <v/>
      </c>
      <c r="R22" s="34">
        <f>IF(B22="","",SUMIFS('Registro de Ingresos'!$C:$C,'Registro de Ingresos'!$B:$B,B22)-SUMIFS('Registro de Egresos'!$C:$C,'Registro de Egresos'!$B:$B,B22))</f>
        <v>0</v>
      </c>
      <c r="S22" s="46" t="str">
        <f t="shared" si="6"/>
        <v/>
      </c>
      <c r="T22" s="38" t="str">
        <f t="shared" si="7"/>
        <v/>
      </c>
      <c r="U22" s="47" t="str">
        <f t="shared" si="8"/>
        <v/>
      </c>
      <c r="V22" s="38" t="str">
        <f t="shared" si="9"/>
        <v/>
      </c>
      <c r="W22" s="38" t="str">
        <f t="shared" si="10"/>
        <v/>
      </c>
      <c r="X22" s="40"/>
      <c r="Y22" s="48"/>
      <c r="Z22" s="5" t="str">
        <f t="shared" si="11"/>
        <v/>
      </c>
    </row>
    <row r="23" spans="1:26" ht="21.75" customHeight="1" x14ac:dyDescent="0.25">
      <c r="A23" s="38">
        <v>12</v>
      </c>
      <c r="B23" s="39" t="s">
        <v>88</v>
      </c>
      <c r="C23" s="40" t="s">
        <v>76</v>
      </c>
      <c r="D23" s="40" t="s">
        <v>37</v>
      </c>
      <c r="E23" s="41">
        <v>2439</v>
      </c>
      <c r="F23" s="40"/>
      <c r="G23" s="42" t="str">
        <f t="shared" si="0"/>
        <v/>
      </c>
      <c r="H23" s="40"/>
      <c r="I23" s="40"/>
      <c r="J23" s="42" t="str">
        <f t="shared" si="1"/>
        <v/>
      </c>
      <c r="K23" s="40"/>
      <c r="L23" s="40"/>
      <c r="M23" s="43" t="str">
        <f t="shared" si="2"/>
        <v/>
      </c>
      <c r="N23" s="38" t="str">
        <f t="shared" si="12"/>
        <v/>
      </c>
      <c r="O23" s="44" t="str">
        <f t="shared" si="3"/>
        <v/>
      </c>
      <c r="P23" s="38" t="str">
        <f t="shared" si="4"/>
        <v/>
      </c>
      <c r="Q23" s="45" t="str">
        <f t="shared" si="5"/>
        <v/>
      </c>
      <c r="R23" s="34">
        <f>IF(B23="","",SUMIFS('Registro de Ingresos'!$C:$C,'Registro de Ingresos'!$B:$B,B23)-SUMIFS('Registro de Egresos'!$C:$C,'Registro de Egresos'!$B:$B,B23))</f>
        <v>0</v>
      </c>
      <c r="S23" s="46" t="str">
        <f t="shared" si="6"/>
        <v/>
      </c>
      <c r="T23" s="38" t="str">
        <f t="shared" si="7"/>
        <v/>
      </c>
      <c r="U23" s="47" t="str">
        <f t="shared" si="8"/>
        <v/>
      </c>
      <c r="V23" s="38" t="str">
        <f t="shared" si="9"/>
        <v/>
      </c>
      <c r="W23" s="38" t="str">
        <f t="shared" si="10"/>
        <v/>
      </c>
      <c r="X23" s="40"/>
      <c r="Y23" s="48"/>
      <c r="Z23" s="5" t="str">
        <f t="shared" si="11"/>
        <v/>
      </c>
    </row>
    <row r="24" spans="1:26" ht="21.75" customHeight="1" x14ac:dyDescent="0.25">
      <c r="A24" s="38">
        <v>13</v>
      </c>
      <c r="B24" s="39" t="s">
        <v>89</v>
      </c>
      <c r="C24" s="40" t="s">
        <v>76</v>
      </c>
      <c r="D24" s="40" t="s">
        <v>37</v>
      </c>
      <c r="E24" s="41">
        <v>2439</v>
      </c>
      <c r="F24" s="40"/>
      <c r="G24" s="42" t="str">
        <f t="shared" si="0"/>
        <v/>
      </c>
      <c r="H24" s="40"/>
      <c r="I24" s="40"/>
      <c r="J24" s="42" t="str">
        <f t="shared" si="1"/>
        <v/>
      </c>
      <c r="K24" s="40"/>
      <c r="L24" s="40"/>
      <c r="M24" s="43" t="str">
        <f t="shared" si="2"/>
        <v/>
      </c>
      <c r="N24" s="38" t="str">
        <f t="shared" si="12"/>
        <v/>
      </c>
      <c r="O24" s="44" t="str">
        <f t="shared" si="3"/>
        <v/>
      </c>
      <c r="P24" s="38" t="str">
        <f t="shared" si="4"/>
        <v/>
      </c>
      <c r="Q24" s="45" t="str">
        <f t="shared" si="5"/>
        <v/>
      </c>
      <c r="R24" s="34">
        <f>IF(B24="","",SUMIFS('Registro de Ingresos'!$C:$C,'Registro de Ingresos'!$B:$B,B24)-SUMIFS('Registro de Egresos'!$C:$C,'Registro de Egresos'!$B:$B,B24))</f>
        <v>0</v>
      </c>
      <c r="S24" s="46" t="str">
        <f t="shared" si="6"/>
        <v/>
      </c>
      <c r="T24" s="38" t="str">
        <f t="shared" si="7"/>
        <v/>
      </c>
      <c r="U24" s="47" t="str">
        <f t="shared" si="8"/>
        <v/>
      </c>
      <c r="V24" s="38" t="str">
        <f t="shared" si="9"/>
        <v/>
      </c>
      <c r="W24" s="38" t="str">
        <f t="shared" si="10"/>
        <v/>
      </c>
      <c r="X24" s="40"/>
      <c r="Y24" s="48"/>
      <c r="Z24" s="5" t="str">
        <f t="shared" si="11"/>
        <v/>
      </c>
    </row>
    <row r="25" spans="1:26" ht="21.75" customHeight="1" x14ac:dyDescent="0.25">
      <c r="A25" s="38">
        <v>14</v>
      </c>
      <c r="B25" s="39" t="s">
        <v>90</v>
      </c>
      <c r="C25" s="40" t="s">
        <v>27</v>
      </c>
      <c r="D25" s="40" t="s">
        <v>37</v>
      </c>
      <c r="E25" s="41">
        <v>13840</v>
      </c>
      <c r="F25" s="40"/>
      <c r="G25" s="42" t="str">
        <f t="shared" si="0"/>
        <v/>
      </c>
      <c r="H25" s="40"/>
      <c r="I25" s="40"/>
      <c r="J25" s="42" t="str">
        <f t="shared" si="1"/>
        <v/>
      </c>
      <c r="K25" s="40"/>
      <c r="L25" s="40"/>
      <c r="M25" s="43" t="str">
        <f t="shared" si="2"/>
        <v/>
      </c>
      <c r="N25" s="38" t="str">
        <f t="shared" si="12"/>
        <v/>
      </c>
      <c r="O25" s="44" t="str">
        <f t="shared" si="3"/>
        <v/>
      </c>
      <c r="P25" s="38" t="str">
        <f t="shared" si="4"/>
        <v/>
      </c>
      <c r="Q25" s="45" t="str">
        <f t="shared" si="5"/>
        <v/>
      </c>
      <c r="R25" s="34">
        <f>IF(B25="","",SUMIFS('Registro de Ingresos'!$C:$C,'Registro de Ingresos'!$B:$B,B25)-SUMIFS('Registro de Egresos'!$C:$C,'Registro de Egresos'!$B:$B,B25))</f>
        <v>0</v>
      </c>
      <c r="S25" s="46" t="str">
        <f t="shared" si="6"/>
        <v/>
      </c>
      <c r="T25" s="38" t="str">
        <f t="shared" si="7"/>
        <v/>
      </c>
      <c r="U25" s="47" t="str">
        <f t="shared" si="8"/>
        <v/>
      </c>
      <c r="V25" s="38" t="str">
        <f t="shared" si="9"/>
        <v/>
      </c>
      <c r="W25" s="38" t="str">
        <f t="shared" si="10"/>
        <v/>
      </c>
      <c r="X25" s="40"/>
      <c r="Y25" s="48"/>
      <c r="Z25" s="5" t="str">
        <f t="shared" si="11"/>
        <v/>
      </c>
    </row>
    <row r="26" spans="1:26" ht="21.75" customHeight="1" x14ac:dyDescent="0.25">
      <c r="A26" s="38">
        <v>15</v>
      </c>
      <c r="B26" s="39" t="s">
        <v>91</v>
      </c>
      <c r="C26" s="40" t="s">
        <v>76</v>
      </c>
      <c r="D26" s="40" t="s">
        <v>37</v>
      </c>
      <c r="E26" s="41">
        <v>10380</v>
      </c>
      <c r="F26" s="40"/>
      <c r="G26" s="42" t="str">
        <f t="shared" si="0"/>
        <v/>
      </c>
      <c r="H26" s="40"/>
      <c r="I26" s="40"/>
      <c r="J26" s="42" t="str">
        <f t="shared" si="1"/>
        <v/>
      </c>
      <c r="K26" s="40"/>
      <c r="L26" s="40"/>
      <c r="M26" s="43" t="str">
        <f t="shared" si="2"/>
        <v/>
      </c>
      <c r="N26" s="38" t="str">
        <f t="shared" si="12"/>
        <v/>
      </c>
      <c r="O26" s="44" t="str">
        <f t="shared" si="3"/>
        <v/>
      </c>
      <c r="P26" s="38" t="str">
        <f t="shared" si="4"/>
        <v/>
      </c>
      <c r="Q26" s="45" t="str">
        <f t="shared" si="5"/>
        <v/>
      </c>
      <c r="R26" s="34">
        <f>IF(B26="","",SUMIFS('Registro de Ingresos'!$C:$C,'Registro de Ingresos'!$B:$B,B26)-SUMIFS('Registro de Egresos'!$C:$C,'Registro de Egresos'!$B:$B,B26))</f>
        <v>0</v>
      </c>
      <c r="S26" s="46" t="str">
        <f t="shared" si="6"/>
        <v/>
      </c>
      <c r="T26" s="38" t="str">
        <f t="shared" si="7"/>
        <v/>
      </c>
      <c r="U26" s="47" t="str">
        <f t="shared" si="8"/>
        <v/>
      </c>
      <c r="V26" s="38" t="str">
        <f t="shared" si="9"/>
        <v/>
      </c>
      <c r="W26" s="38" t="str">
        <f t="shared" si="10"/>
        <v/>
      </c>
      <c r="X26" s="40"/>
      <c r="Y26" s="48"/>
      <c r="Z26" s="5" t="str">
        <f t="shared" si="11"/>
        <v/>
      </c>
    </row>
    <row r="27" spans="1:26" ht="21.75" customHeight="1" x14ac:dyDescent="0.25">
      <c r="A27" s="38">
        <v>16</v>
      </c>
      <c r="B27" s="39" t="s">
        <v>92</v>
      </c>
      <c r="C27" s="40" t="s">
        <v>76</v>
      </c>
      <c r="D27" s="40" t="s">
        <v>38</v>
      </c>
      <c r="E27" s="41">
        <v>6920</v>
      </c>
      <c r="F27" s="40"/>
      <c r="G27" s="42" t="str">
        <f t="shared" si="0"/>
        <v/>
      </c>
      <c r="H27" s="40"/>
      <c r="I27" s="40"/>
      <c r="J27" s="42" t="str">
        <f t="shared" si="1"/>
        <v/>
      </c>
      <c r="K27" s="40"/>
      <c r="L27" s="40"/>
      <c r="M27" s="43" t="str">
        <f t="shared" si="2"/>
        <v/>
      </c>
      <c r="N27" s="38" t="str">
        <f t="shared" si="12"/>
        <v/>
      </c>
      <c r="O27" s="44" t="str">
        <f t="shared" si="3"/>
        <v/>
      </c>
      <c r="P27" s="38" t="str">
        <f t="shared" si="4"/>
        <v/>
      </c>
      <c r="Q27" s="45" t="str">
        <f t="shared" si="5"/>
        <v/>
      </c>
      <c r="R27" s="34">
        <f>IF(B27="","",SUMIFS('Registro de Ingresos'!$C:$C,'Registro de Ingresos'!$B:$B,B27)-SUMIFS('Registro de Egresos'!$C:$C,'Registro de Egresos'!$B:$B,B27))</f>
        <v>0</v>
      </c>
      <c r="S27" s="46" t="str">
        <f t="shared" si="6"/>
        <v/>
      </c>
      <c r="T27" s="38" t="str">
        <f t="shared" si="7"/>
        <v/>
      </c>
      <c r="U27" s="47" t="str">
        <f t="shared" si="8"/>
        <v/>
      </c>
      <c r="V27" s="38" t="str">
        <f t="shared" si="9"/>
        <v/>
      </c>
      <c r="W27" s="38" t="str">
        <f t="shared" si="10"/>
        <v/>
      </c>
      <c r="X27" s="40"/>
      <c r="Y27" s="48"/>
      <c r="Z27" s="5" t="str">
        <f t="shared" si="11"/>
        <v/>
      </c>
    </row>
    <row r="28" spans="1:26" ht="21.75" customHeight="1" x14ac:dyDescent="0.25">
      <c r="A28" s="38">
        <v>17</v>
      </c>
      <c r="B28" s="39" t="s">
        <v>93</v>
      </c>
      <c r="C28" s="40" t="s">
        <v>76</v>
      </c>
      <c r="D28" s="40" t="s">
        <v>38</v>
      </c>
      <c r="E28" s="41">
        <v>4066</v>
      </c>
      <c r="F28" s="40"/>
      <c r="G28" s="42" t="str">
        <f t="shared" si="0"/>
        <v/>
      </c>
      <c r="H28" s="40"/>
      <c r="I28" s="40"/>
      <c r="J28" s="42" t="str">
        <f t="shared" si="1"/>
        <v/>
      </c>
      <c r="K28" s="40"/>
      <c r="L28" s="40"/>
      <c r="M28" s="43" t="str">
        <f t="shared" si="2"/>
        <v/>
      </c>
      <c r="N28" s="38" t="str">
        <f t="shared" si="12"/>
        <v/>
      </c>
      <c r="O28" s="44" t="str">
        <f t="shared" si="3"/>
        <v/>
      </c>
      <c r="P28" s="38" t="str">
        <f t="shared" si="4"/>
        <v/>
      </c>
      <c r="Q28" s="45" t="str">
        <f t="shared" si="5"/>
        <v/>
      </c>
      <c r="R28" s="34">
        <f>IF(B28="","",SUMIFS('Registro de Ingresos'!$C:$C,'Registro de Ingresos'!$B:$B,B28)-SUMIFS('Registro de Egresos'!$C:$C,'Registro de Egresos'!$B:$B,B28))</f>
        <v>0</v>
      </c>
      <c r="S28" s="46" t="str">
        <f t="shared" si="6"/>
        <v/>
      </c>
      <c r="T28" s="38" t="str">
        <f t="shared" si="7"/>
        <v/>
      </c>
      <c r="U28" s="47" t="str">
        <f t="shared" si="8"/>
        <v/>
      </c>
      <c r="V28" s="38" t="str">
        <f t="shared" si="9"/>
        <v/>
      </c>
      <c r="W28" s="38" t="str">
        <f t="shared" si="10"/>
        <v/>
      </c>
      <c r="X28" s="40"/>
      <c r="Y28" s="48"/>
      <c r="Z28" s="5" t="str">
        <f t="shared" si="11"/>
        <v/>
      </c>
    </row>
    <row r="29" spans="1:26" ht="21.75" customHeight="1" x14ac:dyDescent="0.25">
      <c r="A29" s="38">
        <v>18</v>
      </c>
      <c r="B29" s="39" t="s">
        <v>94</v>
      </c>
      <c r="C29" s="40" t="s">
        <v>76</v>
      </c>
      <c r="D29" s="40" t="s">
        <v>38</v>
      </c>
      <c r="E29" s="41">
        <v>4066</v>
      </c>
      <c r="F29" s="40"/>
      <c r="G29" s="42" t="str">
        <f t="shared" si="0"/>
        <v/>
      </c>
      <c r="H29" s="40"/>
      <c r="I29" s="40"/>
      <c r="J29" s="42" t="str">
        <f t="shared" si="1"/>
        <v/>
      </c>
      <c r="K29" s="40"/>
      <c r="L29" s="40"/>
      <c r="M29" s="43" t="str">
        <f t="shared" si="2"/>
        <v/>
      </c>
      <c r="N29" s="38" t="str">
        <f t="shared" si="12"/>
        <v/>
      </c>
      <c r="O29" s="44" t="str">
        <f t="shared" si="3"/>
        <v/>
      </c>
      <c r="P29" s="38" t="str">
        <f t="shared" si="4"/>
        <v/>
      </c>
      <c r="Q29" s="45" t="str">
        <f t="shared" si="5"/>
        <v/>
      </c>
      <c r="R29" s="34">
        <f>IF(B29="","",SUMIFS('Registro de Ingresos'!$C:$C,'Registro de Ingresos'!$B:$B,B29)-SUMIFS('Registro de Egresos'!$C:$C,'Registro de Egresos'!$B:$B,B29))</f>
        <v>0</v>
      </c>
      <c r="S29" s="46" t="str">
        <f t="shared" si="6"/>
        <v/>
      </c>
      <c r="T29" s="38" t="str">
        <f t="shared" si="7"/>
        <v/>
      </c>
      <c r="U29" s="47" t="str">
        <f t="shared" si="8"/>
        <v/>
      </c>
      <c r="V29" s="38" t="str">
        <f t="shared" si="9"/>
        <v/>
      </c>
      <c r="W29" s="38" t="str">
        <f t="shared" si="10"/>
        <v/>
      </c>
      <c r="X29" s="40"/>
      <c r="Y29" s="48"/>
      <c r="Z29" s="5" t="str">
        <f t="shared" si="11"/>
        <v/>
      </c>
    </row>
    <row r="30" spans="1:26" ht="21.75" customHeight="1" x14ac:dyDescent="0.25">
      <c r="A30" s="38">
        <v>19</v>
      </c>
      <c r="B30" s="39" t="s">
        <v>95</v>
      </c>
      <c r="C30" s="40" t="s">
        <v>76</v>
      </c>
      <c r="D30" s="40" t="s">
        <v>80</v>
      </c>
      <c r="E30" s="41">
        <v>20328</v>
      </c>
      <c r="F30" s="40"/>
      <c r="G30" s="42" t="str">
        <f t="shared" si="0"/>
        <v/>
      </c>
      <c r="H30" s="40"/>
      <c r="I30" s="40"/>
      <c r="J30" s="42" t="str">
        <f t="shared" si="1"/>
        <v/>
      </c>
      <c r="K30" s="40"/>
      <c r="L30" s="40"/>
      <c r="M30" s="43" t="str">
        <f t="shared" si="2"/>
        <v/>
      </c>
      <c r="N30" s="38" t="str">
        <f t="shared" si="12"/>
        <v/>
      </c>
      <c r="O30" s="44" t="str">
        <f t="shared" si="3"/>
        <v/>
      </c>
      <c r="P30" s="38" t="str">
        <f t="shared" si="4"/>
        <v/>
      </c>
      <c r="Q30" s="45" t="str">
        <f t="shared" si="5"/>
        <v/>
      </c>
      <c r="R30" s="34">
        <f>IF(B30="","",SUMIFS('Registro de Ingresos'!$C:$C,'Registro de Ingresos'!$B:$B,B30)-SUMIFS('Registro de Egresos'!$C:$C,'Registro de Egresos'!$B:$B,B30))</f>
        <v>0</v>
      </c>
      <c r="S30" s="46" t="str">
        <f t="shared" si="6"/>
        <v/>
      </c>
      <c r="T30" s="38" t="str">
        <f t="shared" si="7"/>
        <v/>
      </c>
      <c r="U30" s="47" t="str">
        <f t="shared" si="8"/>
        <v/>
      </c>
      <c r="V30" s="38" t="str">
        <f t="shared" si="9"/>
        <v/>
      </c>
      <c r="W30" s="38" t="str">
        <f t="shared" si="10"/>
        <v/>
      </c>
      <c r="X30" s="40"/>
      <c r="Y30" s="48"/>
      <c r="Z30" s="5" t="str">
        <f t="shared" si="11"/>
        <v/>
      </c>
    </row>
    <row r="31" spans="1:26" ht="21.75" customHeight="1" x14ac:dyDescent="0.25">
      <c r="A31" s="38">
        <v>20</v>
      </c>
      <c r="B31" s="39" t="s">
        <v>96</v>
      </c>
      <c r="C31" s="40" t="s">
        <v>76</v>
      </c>
      <c r="D31" s="40" t="s">
        <v>38</v>
      </c>
      <c r="E31" s="41">
        <v>81</v>
      </c>
      <c r="F31" s="40"/>
      <c r="G31" s="42" t="str">
        <f t="shared" si="0"/>
        <v/>
      </c>
      <c r="H31" s="40"/>
      <c r="I31" s="40"/>
      <c r="J31" s="42" t="str">
        <f t="shared" si="1"/>
        <v/>
      </c>
      <c r="K31" s="40"/>
      <c r="L31" s="40"/>
      <c r="M31" s="43" t="str">
        <f t="shared" si="2"/>
        <v/>
      </c>
      <c r="N31" s="38" t="str">
        <f t="shared" si="12"/>
        <v/>
      </c>
      <c r="O31" s="44" t="str">
        <f t="shared" si="3"/>
        <v/>
      </c>
      <c r="P31" s="38" t="str">
        <f t="shared" si="4"/>
        <v/>
      </c>
      <c r="Q31" s="45" t="str">
        <f t="shared" si="5"/>
        <v/>
      </c>
      <c r="R31" s="34">
        <f>IF(B31="","",SUMIFS('Registro de Ingresos'!$C:$C,'Registro de Ingresos'!$B:$B,B31)-SUMIFS('Registro de Egresos'!$C:$C,'Registro de Egresos'!$B:$B,B31))</f>
        <v>0</v>
      </c>
      <c r="S31" s="46" t="str">
        <f t="shared" si="6"/>
        <v/>
      </c>
      <c r="T31" s="38" t="str">
        <f t="shared" si="7"/>
        <v/>
      </c>
      <c r="U31" s="47" t="str">
        <f t="shared" si="8"/>
        <v/>
      </c>
      <c r="V31" s="38" t="str">
        <f t="shared" si="9"/>
        <v/>
      </c>
      <c r="W31" s="38" t="str">
        <f t="shared" si="10"/>
        <v/>
      </c>
      <c r="X31" s="40"/>
      <c r="Y31" s="48"/>
      <c r="Z31" s="5" t="str">
        <f t="shared" si="11"/>
        <v/>
      </c>
    </row>
    <row r="32" spans="1:26" ht="21.75" customHeight="1" x14ac:dyDescent="0.25">
      <c r="A32" s="38">
        <v>21</v>
      </c>
      <c r="B32" s="39" t="s">
        <v>97</v>
      </c>
      <c r="C32" s="40" t="s">
        <v>76</v>
      </c>
      <c r="D32" s="40" t="s">
        <v>38</v>
      </c>
      <c r="E32" s="41">
        <v>92</v>
      </c>
      <c r="F32" s="40"/>
      <c r="G32" s="42" t="str">
        <f t="shared" si="0"/>
        <v/>
      </c>
      <c r="H32" s="40"/>
      <c r="I32" s="40"/>
      <c r="J32" s="42" t="str">
        <f t="shared" si="1"/>
        <v/>
      </c>
      <c r="K32" s="40"/>
      <c r="L32" s="40"/>
      <c r="M32" s="43" t="str">
        <f t="shared" si="2"/>
        <v/>
      </c>
      <c r="N32" s="38" t="str">
        <f t="shared" si="12"/>
        <v/>
      </c>
      <c r="O32" s="44" t="str">
        <f t="shared" si="3"/>
        <v/>
      </c>
      <c r="P32" s="38" t="str">
        <f t="shared" si="4"/>
        <v/>
      </c>
      <c r="Q32" s="45" t="str">
        <f t="shared" si="5"/>
        <v/>
      </c>
      <c r="R32" s="34">
        <f>IF(B32="","",SUMIFS('Registro de Ingresos'!$C:$C,'Registro de Ingresos'!$B:$B,B32)-SUMIFS('Registro de Egresos'!$C:$C,'Registro de Egresos'!$B:$B,B32))</f>
        <v>0</v>
      </c>
      <c r="S32" s="46" t="str">
        <f t="shared" si="6"/>
        <v/>
      </c>
      <c r="T32" s="38" t="str">
        <f t="shared" si="7"/>
        <v/>
      </c>
      <c r="U32" s="47" t="str">
        <f t="shared" si="8"/>
        <v/>
      </c>
      <c r="V32" s="38" t="str">
        <f t="shared" si="9"/>
        <v/>
      </c>
      <c r="W32" s="38" t="str">
        <f t="shared" si="10"/>
        <v/>
      </c>
      <c r="X32" s="40"/>
      <c r="Y32" s="48"/>
      <c r="Z32" s="5" t="str">
        <f t="shared" si="11"/>
        <v/>
      </c>
    </row>
    <row r="33" spans="1:26" ht="21.75" customHeight="1" x14ac:dyDescent="0.25">
      <c r="A33" s="38">
        <v>22</v>
      </c>
      <c r="B33" s="39" t="s">
        <v>98</v>
      </c>
      <c r="C33" s="40" t="s">
        <v>76</v>
      </c>
      <c r="D33" s="40" t="s">
        <v>80</v>
      </c>
      <c r="E33" s="41">
        <v>5060</v>
      </c>
      <c r="F33" s="40"/>
      <c r="G33" s="42" t="str">
        <f t="shared" si="0"/>
        <v/>
      </c>
      <c r="H33" s="40"/>
      <c r="I33" s="40"/>
      <c r="J33" s="42" t="str">
        <f t="shared" si="1"/>
        <v/>
      </c>
      <c r="K33" s="40"/>
      <c r="L33" s="40"/>
      <c r="M33" s="43" t="str">
        <f t="shared" si="2"/>
        <v/>
      </c>
      <c r="N33" s="38" t="str">
        <f t="shared" si="12"/>
        <v/>
      </c>
      <c r="O33" s="44" t="str">
        <f t="shared" si="3"/>
        <v/>
      </c>
      <c r="P33" s="38" t="str">
        <f t="shared" si="4"/>
        <v/>
      </c>
      <c r="Q33" s="45" t="str">
        <f t="shared" si="5"/>
        <v/>
      </c>
      <c r="R33" s="34">
        <f>IF(B33="","",SUMIFS('Registro de Ingresos'!$C:$C,'Registro de Ingresos'!$B:$B,B33)-SUMIFS('Registro de Egresos'!$C:$C,'Registro de Egresos'!$B:$B,B33))</f>
        <v>0</v>
      </c>
      <c r="S33" s="46" t="str">
        <f t="shared" si="6"/>
        <v/>
      </c>
      <c r="T33" s="38" t="str">
        <f t="shared" si="7"/>
        <v/>
      </c>
      <c r="U33" s="47" t="str">
        <f t="shared" si="8"/>
        <v/>
      </c>
      <c r="V33" s="38" t="str">
        <f t="shared" si="9"/>
        <v/>
      </c>
      <c r="W33" s="38" t="str">
        <f t="shared" si="10"/>
        <v/>
      </c>
      <c r="X33" s="40"/>
      <c r="Y33" s="48"/>
      <c r="Z33" s="5" t="str">
        <f t="shared" si="11"/>
        <v/>
      </c>
    </row>
    <row r="34" spans="1:26" ht="21.75" customHeight="1" x14ac:dyDescent="0.25">
      <c r="A34" s="38">
        <v>23</v>
      </c>
      <c r="B34" s="39" t="s">
        <v>99</v>
      </c>
      <c r="C34" s="40" t="s">
        <v>76</v>
      </c>
      <c r="D34" s="40" t="s">
        <v>38</v>
      </c>
      <c r="E34" s="41">
        <v>29</v>
      </c>
      <c r="F34" s="40"/>
      <c r="G34" s="42" t="str">
        <f t="shared" si="0"/>
        <v/>
      </c>
      <c r="H34" s="40"/>
      <c r="I34" s="40"/>
      <c r="J34" s="42" t="str">
        <f t="shared" si="1"/>
        <v/>
      </c>
      <c r="K34" s="40"/>
      <c r="L34" s="40"/>
      <c r="M34" s="43" t="str">
        <f t="shared" si="2"/>
        <v/>
      </c>
      <c r="N34" s="38" t="str">
        <f t="shared" si="12"/>
        <v/>
      </c>
      <c r="O34" s="44" t="str">
        <f t="shared" si="3"/>
        <v/>
      </c>
      <c r="P34" s="38" t="str">
        <f t="shared" si="4"/>
        <v/>
      </c>
      <c r="Q34" s="45" t="str">
        <f t="shared" si="5"/>
        <v/>
      </c>
      <c r="R34" s="34">
        <f>IF(B34="","",SUMIFS('Registro de Ingresos'!$C:$C,'Registro de Ingresos'!$B:$B,B34)-SUMIFS('Registro de Egresos'!$C:$C,'Registro de Egresos'!$B:$B,B34))</f>
        <v>0</v>
      </c>
      <c r="S34" s="46" t="str">
        <f t="shared" si="6"/>
        <v/>
      </c>
      <c r="T34" s="38" t="str">
        <f t="shared" si="7"/>
        <v/>
      </c>
      <c r="U34" s="47" t="str">
        <f t="shared" si="8"/>
        <v/>
      </c>
      <c r="V34" s="38" t="str">
        <f t="shared" si="9"/>
        <v/>
      </c>
      <c r="W34" s="38" t="str">
        <f t="shared" si="10"/>
        <v/>
      </c>
      <c r="X34" s="40"/>
      <c r="Y34" s="48"/>
      <c r="Z34" s="5" t="str">
        <f t="shared" si="11"/>
        <v/>
      </c>
    </row>
    <row r="35" spans="1:26" ht="21.75" customHeight="1" x14ac:dyDescent="0.25">
      <c r="A35" s="38">
        <v>24</v>
      </c>
      <c r="B35" s="39" t="s">
        <v>100</v>
      </c>
      <c r="C35" s="40" t="s">
        <v>76</v>
      </c>
      <c r="D35" s="40" t="s">
        <v>38</v>
      </c>
      <c r="E35" s="41">
        <v>61</v>
      </c>
      <c r="F35" s="40"/>
      <c r="G35" s="42" t="str">
        <f t="shared" si="0"/>
        <v/>
      </c>
      <c r="H35" s="40"/>
      <c r="I35" s="40"/>
      <c r="J35" s="42" t="str">
        <f t="shared" si="1"/>
        <v/>
      </c>
      <c r="K35" s="40"/>
      <c r="L35" s="40"/>
      <c r="M35" s="43" t="str">
        <f t="shared" si="2"/>
        <v/>
      </c>
      <c r="N35" s="38" t="str">
        <f t="shared" si="12"/>
        <v/>
      </c>
      <c r="O35" s="44" t="str">
        <f t="shared" si="3"/>
        <v/>
      </c>
      <c r="P35" s="38" t="str">
        <f t="shared" si="4"/>
        <v/>
      </c>
      <c r="Q35" s="45" t="str">
        <f t="shared" si="5"/>
        <v/>
      </c>
      <c r="R35" s="34">
        <f>IF(B35="","",SUMIFS('Registro de Ingresos'!$C:$C,'Registro de Ingresos'!$B:$B,B35)-SUMIFS('Registro de Egresos'!$C:$C,'Registro de Egresos'!$B:$B,B35))</f>
        <v>0</v>
      </c>
      <c r="S35" s="46" t="str">
        <f t="shared" si="6"/>
        <v/>
      </c>
      <c r="T35" s="38" t="str">
        <f t="shared" si="7"/>
        <v/>
      </c>
      <c r="U35" s="47" t="str">
        <f t="shared" si="8"/>
        <v/>
      </c>
      <c r="V35" s="38" t="str">
        <f t="shared" si="9"/>
        <v/>
      </c>
      <c r="W35" s="38" t="str">
        <f t="shared" si="10"/>
        <v/>
      </c>
      <c r="X35" s="40"/>
      <c r="Y35" s="48"/>
      <c r="Z35" s="5" t="str">
        <f t="shared" si="11"/>
        <v/>
      </c>
    </row>
    <row r="36" spans="1:26" ht="21.75" customHeight="1" x14ac:dyDescent="0.25">
      <c r="A36" s="38">
        <v>25</v>
      </c>
      <c r="B36" s="39" t="s">
        <v>101</v>
      </c>
      <c r="C36" s="40" t="s">
        <v>76</v>
      </c>
      <c r="D36" s="40" t="s">
        <v>38</v>
      </c>
      <c r="E36" s="41">
        <v>61</v>
      </c>
      <c r="F36" s="40"/>
      <c r="G36" s="42" t="str">
        <f t="shared" si="0"/>
        <v/>
      </c>
      <c r="H36" s="40"/>
      <c r="I36" s="40"/>
      <c r="J36" s="42" t="str">
        <f t="shared" si="1"/>
        <v/>
      </c>
      <c r="K36" s="40"/>
      <c r="L36" s="40"/>
      <c r="M36" s="43" t="str">
        <f t="shared" si="2"/>
        <v/>
      </c>
      <c r="N36" s="38" t="str">
        <f t="shared" si="12"/>
        <v/>
      </c>
      <c r="O36" s="44" t="str">
        <f t="shared" si="3"/>
        <v/>
      </c>
      <c r="P36" s="38" t="str">
        <f t="shared" si="4"/>
        <v/>
      </c>
      <c r="Q36" s="45" t="str">
        <f t="shared" si="5"/>
        <v/>
      </c>
      <c r="R36" s="34">
        <f>IF(B36="","",SUMIFS('Registro de Ingresos'!$C:$C,'Registro de Ingresos'!$B:$B,B36)-SUMIFS('Registro de Egresos'!$C:$C,'Registro de Egresos'!$B:$B,B36))</f>
        <v>0</v>
      </c>
      <c r="S36" s="46" t="str">
        <f t="shared" si="6"/>
        <v/>
      </c>
      <c r="T36" s="38" t="str">
        <f t="shared" si="7"/>
        <v/>
      </c>
      <c r="U36" s="47" t="str">
        <f t="shared" si="8"/>
        <v/>
      </c>
      <c r="V36" s="38" t="str">
        <f t="shared" si="9"/>
        <v/>
      </c>
      <c r="W36" s="38" t="str">
        <f t="shared" si="10"/>
        <v/>
      </c>
      <c r="X36" s="40"/>
      <c r="Y36" s="48"/>
      <c r="Z36" s="5" t="str">
        <f t="shared" si="11"/>
        <v/>
      </c>
    </row>
    <row r="37" spans="1:26" ht="21.75" customHeight="1" x14ac:dyDescent="0.25">
      <c r="A37" s="38">
        <v>26</v>
      </c>
      <c r="B37" s="39" t="s">
        <v>102</v>
      </c>
      <c r="C37" s="40" t="s">
        <v>76</v>
      </c>
      <c r="D37" s="40" t="s">
        <v>38</v>
      </c>
      <c r="E37" s="41">
        <v>61</v>
      </c>
      <c r="F37" s="40"/>
      <c r="G37" s="42" t="str">
        <f t="shared" si="0"/>
        <v/>
      </c>
      <c r="H37" s="40"/>
      <c r="I37" s="40"/>
      <c r="J37" s="42" t="str">
        <f t="shared" si="1"/>
        <v/>
      </c>
      <c r="K37" s="40"/>
      <c r="L37" s="40"/>
      <c r="M37" s="43" t="str">
        <f t="shared" si="2"/>
        <v/>
      </c>
      <c r="N37" s="38" t="str">
        <f t="shared" si="12"/>
        <v/>
      </c>
      <c r="O37" s="44" t="str">
        <f t="shared" si="3"/>
        <v/>
      </c>
      <c r="P37" s="38" t="str">
        <f t="shared" si="4"/>
        <v/>
      </c>
      <c r="Q37" s="45" t="str">
        <f t="shared" si="5"/>
        <v/>
      </c>
      <c r="R37" s="34">
        <f>IF(B37="","",SUMIFS('Registro de Ingresos'!$C:$C,'Registro de Ingresos'!$B:$B,B37)-SUMIFS('Registro de Egresos'!$C:$C,'Registro de Egresos'!$B:$B,B37))</f>
        <v>0</v>
      </c>
      <c r="S37" s="46" t="str">
        <f t="shared" si="6"/>
        <v/>
      </c>
      <c r="T37" s="38" t="str">
        <f t="shared" si="7"/>
        <v/>
      </c>
      <c r="U37" s="47" t="str">
        <f t="shared" si="8"/>
        <v/>
      </c>
      <c r="V37" s="38" t="str">
        <f t="shared" si="9"/>
        <v/>
      </c>
      <c r="W37" s="38" t="str">
        <f t="shared" si="10"/>
        <v/>
      </c>
      <c r="X37" s="40"/>
      <c r="Y37" s="48"/>
      <c r="Z37" s="5" t="str">
        <f t="shared" si="11"/>
        <v/>
      </c>
    </row>
    <row r="38" spans="1:26" ht="21.75" customHeight="1" x14ac:dyDescent="0.25">
      <c r="A38" s="38">
        <v>27</v>
      </c>
      <c r="B38" s="39" t="s">
        <v>103</v>
      </c>
      <c r="C38" s="40" t="s">
        <v>76</v>
      </c>
      <c r="D38" s="40" t="s">
        <v>38</v>
      </c>
      <c r="E38" s="41">
        <v>61</v>
      </c>
      <c r="F38" s="40"/>
      <c r="G38" s="42" t="str">
        <f t="shared" si="0"/>
        <v/>
      </c>
      <c r="H38" s="40"/>
      <c r="I38" s="40"/>
      <c r="J38" s="42" t="str">
        <f t="shared" si="1"/>
        <v/>
      </c>
      <c r="K38" s="40"/>
      <c r="L38" s="40"/>
      <c r="M38" s="43" t="str">
        <f t="shared" si="2"/>
        <v/>
      </c>
      <c r="N38" s="38" t="str">
        <f t="shared" si="12"/>
        <v/>
      </c>
      <c r="O38" s="44" t="str">
        <f t="shared" si="3"/>
        <v/>
      </c>
      <c r="P38" s="38" t="str">
        <f t="shared" si="4"/>
        <v/>
      </c>
      <c r="Q38" s="45" t="str">
        <f t="shared" si="5"/>
        <v/>
      </c>
      <c r="R38" s="34">
        <f>IF(B38="","",SUMIFS('Registro de Ingresos'!$C:$C,'Registro de Ingresos'!$B:$B,B38)-SUMIFS('Registro de Egresos'!$C:$C,'Registro de Egresos'!$B:$B,B38))</f>
        <v>0</v>
      </c>
      <c r="S38" s="46" t="str">
        <f t="shared" si="6"/>
        <v/>
      </c>
      <c r="T38" s="38" t="str">
        <f t="shared" si="7"/>
        <v/>
      </c>
      <c r="U38" s="47" t="str">
        <f t="shared" si="8"/>
        <v/>
      </c>
      <c r="V38" s="38" t="str">
        <f t="shared" si="9"/>
        <v/>
      </c>
      <c r="W38" s="38" t="str">
        <f t="shared" si="10"/>
        <v/>
      </c>
      <c r="X38" s="40"/>
      <c r="Y38" s="48"/>
      <c r="Z38" s="5" t="str">
        <f t="shared" si="11"/>
        <v/>
      </c>
    </row>
    <row r="39" spans="1:26" ht="21.75" customHeight="1" x14ac:dyDescent="0.25">
      <c r="A39" s="38">
        <v>28</v>
      </c>
      <c r="B39" s="39" t="s">
        <v>104</v>
      </c>
      <c r="C39" s="40" t="s">
        <v>76</v>
      </c>
      <c r="D39" s="40" t="s">
        <v>38</v>
      </c>
      <c r="E39" s="41">
        <v>14</v>
      </c>
      <c r="F39" s="40"/>
      <c r="G39" s="42" t="str">
        <f t="shared" si="0"/>
        <v/>
      </c>
      <c r="H39" s="40"/>
      <c r="I39" s="40"/>
      <c r="J39" s="42" t="str">
        <f t="shared" si="1"/>
        <v/>
      </c>
      <c r="K39" s="40"/>
      <c r="L39" s="40"/>
      <c r="M39" s="43" t="str">
        <f t="shared" si="2"/>
        <v/>
      </c>
      <c r="N39" s="38" t="str">
        <f t="shared" si="12"/>
        <v/>
      </c>
      <c r="O39" s="44" t="str">
        <f t="shared" si="3"/>
        <v/>
      </c>
      <c r="P39" s="38" t="str">
        <f t="shared" si="4"/>
        <v/>
      </c>
      <c r="Q39" s="45" t="str">
        <f t="shared" si="5"/>
        <v/>
      </c>
      <c r="R39" s="34">
        <f>IF(B39="","",SUMIFS('Registro de Ingresos'!$C:$C,'Registro de Ingresos'!$B:$B,B39)-SUMIFS('Registro de Egresos'!$C:$C,'Registro de Egresos'!$B:$B,B39))</f>
        <v>0</v>
      </c>
      <c r="S39" s="46" t="str">
        <f t="shared" si="6"/>
        <v/>
      </c>
      <c r="T39" s="38" t="str">
        <f t="shared" si="7"/>
        <v/>
      </c>
      <c r="U39" s="47" t="str">
        <f t="shared" si="8"/>
        <v/>
      </c>
      <c r="V39" s="38" t="str">
        <f t="shared" si="9"/>
        <v/>
      </c>
      <c r="W39" s="38" t="str">
        <f t="shared" si="10"/>
        <v/>
      </c>
      <c r="X39" s="40"/>
      <c r="Y39" s="48"/>
      <c r="Z39" s="5" t="str">
        <f t="shared" si="11"/>
        <v/>
      </c>
    </row>
    <row r="40" spans="1:26" ht="21.75" customHeight="1" x14ac:dyDescent="0.25">
      <c r="A40" s="38">
        <v>29</v>
      </c>
      <c r="B40" s="39" t="s">
        <v>105</v>
      </c>
      <c r="C40" s="40" t="s">
        <v>76</v>
      </c>
      <c r="D40" s="40" t="s">
        <v>106</v>
      </c>
      <c r="E40" s="41">
        <v>41</v>
      </c>
      <c r="F40" s="40"/>
      <c r="G40" s="42" t="str">
        <f t="shared" si="0"/>
        <v/>
      </c>
      <c r="H40" s="40"/>
      <c r="I40" s="40"/>
      <c r="J40" s="42" t="str">
        <f t="shared" si="1"/>
        <v/>
      </c>
      <c r="K40" s="40"/>
      <c r="L40" s="40"/>
      <c r="M40" s="43" t="str">
        <f t="shared" si="2"/>
        <v/>
      </c>
      <c r="N40" s="38" t="str">
        <f t="shared" si="12"/>
        <v/>
      </c>
      <c r="O40" s="44" t="str">
        <f t="shared" si="3"/>
        <v/>
      </c>
      <c r="P40" s="38" t="str">
        <f t="shared" si="4"/>
        <v/>
      </c>
      <c r="Q40" s="45" t="str">
        <f t="shared" si="5"/>
        <v/>
      </c>
      <c r="R40" s="34">
        <f>IF(B40="","",SUMIFS('Registro de Ingresos'!$C:$C,'Registro de Ingresos'!$B:$B,B40)-SUMIFS('Registro de Egresos'!$C:$C,'Registro de Egresos'!$B:$B,B40))</f>
        <v>0</v>
      </c>
      <c r="S40" s="46" t="str">
        <f t="shared" si="6"/>
        <v/>
      </c>
      <c r="T40" s="38" t="str">
        <f t="shared" si="7"/>
        <v/>
      </c>
      <c r="U40" s="47" t="str">
        <f t="shared" si="8"/>
        <v/>
      </c>
      <c r="V40" s="38" t="str">
        <f t="shared" si="9"/>
        <v/>
      </c>
      <c r="W40" s="38" t="str">
        <f t="shared" si="10"/>
        <v/>
      </c>
      <c r="X40" s="40"/>
      <c r="Y40" s="48"/>
      <c r="Z40" s="5" t="str">
        <f t="shared" si="11"/>
        <v/>
      </c>
    </row>
    <row r="41" spans="1:26" ht="15" customHeight="1" x14ac:dyDescent="0.25">
      <c r="A41" s="38">
        <v>30</v>
      </c>
      <c r="B41" s="39"/>
      <c r="C41" s="40"/>
      <c r="D41" s="40"/>
      <c r="E41" s="41"/>
      <c r="F41" s="40"/>
      <c r="G41" s="42" t="str">
        <f t="shared" si="0"/>
        <v/>
      </c>
      <c r="H41" s="40"/>
      <c r="I41" s="40"/>
      <c r="J41" s="42" t="str">
        <f t="shared" si="1"/>
        <v/>
      </c>
      <c r="K41" s="40"/>
      <c r="L41" s="40"/>
      <c r="M41" s="43" t="str">
        <f t="shared" si="2"/>
        <v/>
      </c>
      <c r="N41" s="38" t="str">
        <f t="shared" si="12"/>
        <v/>
      </c>
      <c r="O41" s="44" t="str">
        <f t="shared" si="3"/>
        <v/>
      </c>
      <c r="P41" s="38" t="str">
        <f t="shared" si="4"/>
        <v/>
      </c>
      <c r="Q41" s="45" t="str">
        <f t="shared" si="5"/>
        <v/>
      </c>
      <c r="R41" s="34" t="str">
        <f>IF(B41="","",SUMIFS('Registro de Ingresos'!$C:$C,'Registro de Ingresos'!$B:$B,B41)-SUMIFS('Registro de Egresos'!$C:$C,'Registro de Egresos'!$B:$B,B41))</f>
        <v/>
      </c>
      <c r="S41" s="46" t="str">
        <f t="shared" si="6"/>
        <v/>
      </c>
      <c r="T41" s="38" t="str">
        <f t="shared" si="7"/>
        <v/>
      </c>
      <c r="U41" s="47" t="str">
        <f t="shared" si="8"/>
        <v/>
      </c>
      <c r="V41" s="38" t="str">
        <f t="shared" si="9"/>
        <v/>
      </c>
      <c r="W41" s="38" t="str">
        <f t="shared" si="10"/>
        <v/>
      </c>
      <c r="X41" s="40"/>
      <c r="Y41" s="48"/>
      <c r="Z41" s="5" t="str">
        <f t="shared" si="11"/>
        <v/>
      </c>
    </row>
    <row r="42" spans="1:26" ht="15" customHeight="1" x14ac:dyDescent="0.25">
      <c r="A42" s="38">
        <v>31</v>
      </c>
      <c r="B42" s="39"/>
      <c r="C42" s="40"/>
      <c r="D42" s="40"/>
      <c r="E42" s="41"/>
      <c r="F42" s="40"/>
      <c r="G42" s="42" t="str">
        <f t="shared" si="0"/>
        <v/>
      </c>
      <c r="H42" s="40"/>
      <c r="I42" s="40"/>
      <c r="J42" s="42" t="str">
        <f t="shared" si="1"/>
        <v/>
      </c>
      <c r="K42" s="40"/>
      <c r="L42" s="40"/>
      <c r="M42" s="43" t="str">
        <f t="shared" si="2"/>
        <v/>
      </c>
      <c r="N42" s="38" t="str">
        <f t="shared" si="12"/>
        <v/>
      </c>
      <c r="O42" s="44" t="str">
        <f t="shared" si="3"/>
        <v/>
      </c>
      <c r="P42" s="38" t="str">
        <f t="shared" si="4"/>
        <v/>
      </c>
      <c r="Q42" s="45" t="str">
        <f t="shared" si="5"/>
        <v/>
      </c>
      <c r="R42" s="34" t="str">
        <f>IF(B42="","",SUMIFS('Registro de Ingresos'!$C:$C,'Registro de Ingresos'!$B:$B,B42)-SUMIFS('Registro de Egresos'!$C:$C,'Registro de Egresos'!$B:$B,B42))</f>
        <v/>
      </c>
      <c r="S42" s="46" t="str">
        <f t="shared" si="6"/>
        <v/>
      </c>
      <c r="T42" s="38" t="str">
        <f t="shared" si="7"/>
        <v/>
      </c>
      <c r="U42" s="47" t="str">
        <f t="shared" si="8"/>
        <v/>
      </c>
      <c r="V42" s="38" t="str">
        <f t="shared" si="9"/>
        <v/>
      </c>
      <c r="W42" s="38" t="str">
        <f t="shared" si="10"/>
        <v/>
      </c>
      <c r="X42" s="40"/>
      <c r="Y42" s="48"/>
      <c r="Z42" s="5" t="str">
        <f t="shared" si="11"/>
        <v/>
      </c>
    </row>
    <row r="43" spans="1:26" ht="15" customHeight="1" x14ac:dyDescent="0.25">
      <c r="A43" s="38">
        <v>32</v>
      </c>
      <c r="B43" s="39"/>
      <c r="C43" s="40"/>
      <c r="D43" s="40"/>
      <c r="E43" s="41"/>
      <c r="F43" s="40"/>
      <c r="G43" s="42" t="str">
        <f t="shared" ref="G43:G74" si="13">IF(OR(E43="",F43=""),"",E43*F43)</f>
        <v/>
      </c>
      <c r="H43" s="40"/>
      <c r="I43" s="40"/>
      <c r="J43" s="42" t="str">
        <f t="shared" ref="J43:J74" si="14">IF(OR(G43="",I43=""),"",G43/I43)</f>
        <v/>
      </c>
      <c r="K43" s="40"/>
      <c r="L43" s="40"/>
      <c r="M43" s="43" t="str">
        <f t="shared" ref="M43:M74" si="15">IF(OR(E43="",H43="",K43="",L43=""),"",$B$4*(IF($O$10=$N$10,0,(E43-$N$10)/($O$10-$N$10)))+$B$5*(IF($Q$10=$P$10,0,(H43-$P$10)/($Q$10-$P$10)))+$B$6*((K43-1)/4)+$B$7*(IF($S$10=$R$10,0,(L43-$R$10)/($S$10-$R$10))))</f>
        <v/>
      </c>
      <c r="N43" s="38" t="str">
        <f t="shared" si="12"/>
        <v/>
      </c>
      <c r="O43" s="44" t="str">
        <f t="shared" ref="O43:O74" si="16">IF(N43="","",SUMIFS($M$12:$M$79,$N$12:$N$79,"&lt;="&amp;N43)/SUM($M$12:$M$79))</f>
        <v/>
      </c>
      <c r="P43" s="38" t="str">
        <f t="shared" ref="P43:P79" si="17">IF(N43="","",IF(N43&lt;=ROUNDUP(0.2*COUNT($M$12:$M$79),0),"A",IF(N43&lt;=ROUNDUP(0.5*COUNT($M$12:$M$79),0),"B","C")))</f>
        <v/>
      </c>
      <c r="Q43" s="45" t="str">
        <f t="shared" ref="Q43:Q74" si="18">IF(P43="","",IF(P43="A",0.5,IF(P43="B",0.3,IF(P43="C",0.15,""))))</f>
        <v/>
      </c>
      <c r="R43" s="34" t="str">
        <f>IF(B43="","",SUMIFS('Registro de Ingresos'!$C:$C,'Registro de Ingresos'!$B:$B,B43)-SUMIFS('Registro de Egresos'!$C:$C,'Registro de Egresos'!$B:$B,B43))</f>
        <v/>
      </c>
      <c r="S43" s="46" t="str">
        <f t="shared" ref="S43:S79" si="19">IF(OR(H43="",L43="",Q43="",F43="",F43=0),"",CEILING((H43/30*L43)*(1+Q43),F43))</f>
        <v/>
      </c>
      <c r="T43" s="38" t="str">
        <f t="shared" ref="T43:T74" si="20">IF(OR(R43="",S43=""),"",IF(R43&lt;=S43,"REPONER AHORA","OK"))</f>
        <v/>
      </c>
      <c r="U43" s="47" t="str">
        <f t="shared" ref="U43:U79" si="21">IF(OR(R43="",S43="",H43=""),"",IF(H43=0,"",$E$3+MAX(0,(R43-S43)/(H43/30))))</f>
        <v/>
      </c>
      <c r="V43" s="38" t="str">
        <f t="shared" ref="V43:V74" si="22">IF(U43="","",DAY(U43))</f>
        <v/>
      </c>
      <c r="W43" s="38" t="str">
        <f t="shared" ref="W43:W74" si="23">IF(V43="","",IF(V43&gt;20,"FUERA DE VENTANA","DENTRO DE VENTANA"))</f>
        <v/>
      </c>
      <c r="X43" s="40"/>
      <c r="Y43" s="48"/>
      <c r="Z43" s="5" t="str">
        <f t="shared" ref="Z43:Z79" si="24">IF(M43="","",M43+ROW()/100000000)</f>
        <v/>
      </c>
    </row>
    <row r="44" spans="1:26" ht="15" customHeight="1" x14ac:dyDescent="0.25">
      <c r="A44" s="38">
        <v>33</v>
      </c>
      <c r="B44" s="39"/>
      <c r="C44" s="40"/>
      <c r="D44" s="40"/>
      <c r="E44" s="41"/>
      <c r="F44" s="40"/>
      <c r="G44" s="42" t="str">
        <f t="shared" si="13"/>
        <v/>
      </c>
      <c r="H44" s="40"/>
      <c r="I44" s="40"/>
      <c r="J44" s="42" t="str">
        <f t="shared" si="14"/>
        <v/>
      </c>
      <c r="K44" s="40"/>
      <c r="L44" s="40"/>
      <c r="M44" s="43" t="str">
        <f t="shared" si="15"/>
        <v/>
      </c>
      <c r="N44" s="38" t="str">
        <f t="shared" ref="N44:N79" si="25">IF(Z44="","",RANK(Z44,$Z$12:$Z$79,0))</f>
        <v/>
      </c>
      <c r="O44" s="44" t="str">
        <f t="shared" si="16"/>
        <v/>
      </c>
      <c r="P44" s="38" t="str">
        <f t="shared" si="17"/>
        <v/>
      </c>
      <c r="Q44" s="45" t="str">
        <f t="shared" si="18"/>
        <v/>
      </c>
      <c r="R44" s="34" t="str">
        <f>IF(B44="","",SUMIFS('Registro de Ingresos'!$C:$C,'Registro de Ingresos'!$B:$B,B44)-SUMIFS('Registro de Egresos'!$C:$C,'Registro de Egresos'!$B:$B,B44))</f>
        <v/>
      </c>
      <c r="S44" s="46" t="str">
        <f t="shared" si="19"/>
        <v/>
      </c>
      <c r="T44" s="38" t="str">
        <f t="shared" si="20"/>
        <v/>
      </c>
      <c r="U44" s="47" t="str">
        <f t="shared" si="21"/>
        <v/>
      </c>
      <c r="V44" s="38" t="str">
        <f t="shared" si="22"/>
        <v/>
      </c>
      <c r="W44" s="38" t="str">
        <f t="shared" si="23"/>
        <v/>
      </c>
      <c r="X44" s="40"/>
      <c r="Y44" s="48"/>
      <c r="Z44" s="5" t="str">
        <f t="shared" si="24"/>
        <v/>
      </c>
    </row>
    <row r="45" spans="1:26" ht="15" customHeight="1" x14ac:dyDescent="0.25">
      <c r="A45" s="38">
        <v>34</v>
      </c>
      <c r="B45" s="39"/>
      <c r="C45" s="40"/>
      <c r="D45" s="40"/>
      <c r="E45" s="41"/>
      <c r="F45" s="40"/>
      <c r="G45" s="42" t="str">
        <f t="shared" si="13"/>
        <v/>
      </c>
      <c r="H45" s="40"/>
      <c r="I45" s="40"/>
      <c r="J45" s="42" t="str">
        <f t="shared" si="14"/>
        <v/>
      </c>
      <c r="K45" s="40"/>
      <c r="L45" s="40"/>
      <c r="M45" s="43" t="str">
        <f t="shared" si="15"/>
        <v/>
      </c>
      <c r="N45" s="38" t="str">
        <f t="shared" si="25"/>
        <v/>
      </c>
      <c r="O45" s="44" t="str">
        <f t="shared" si="16"/>
        <v/>
      </c>
      <c r="P45" s="38" t="str">
        <f t="shared" si="17"/>
        <v/>
      </c>
      <c r="Q45" s="45" t="str">
        <f t="shared" si="18"/>
        <v/>
      </c>
      <c r="R45" s="34" t="str">
        <f>IF(B45="","",SUMIFS('Registro de Ingresos'!$C:$C,'Registro de Ingresos'!$B:$B,B45)-SUMIFS('Registro de Egresos'!$C:$C,'Registro de Egresos'!$B:$B,B45))</f>
        <v/>
      </c>
      <c r="S45" s="46" t="str">
        <f t="shared" si="19"/>
        <v/>
      </c>
      <c r="T45" s="38" t="str">
        <f t="shared" si="20"/>
        <v/>
      </c>
      <c r="U45" s="47" t="str">
        <f t="shared" si="21"/>
        <v/>
      </c>
      <c r="V45" s="38" t="str">
        <f t="shared" si="22"/>
        <v/>
      </c>
      <c r="W45" s="38" t="str">
        <f t="shared" si="23"/>
        <v/>
      </c>
      <c r="X45" s="40"/>
      <c r="Y45" s="48"/>
      <c r="Z45" s="5" t="str">
        <f t="shared" si="24"/>
        <v/>
      </c>
    </row>
    <row r="46" spans="1:26" ht="15" customHeight="1" x14ac:dyDescent="0.25">
      <c r="A46" s="38">
        <v>35</v>
      </c>
      <c r="B46" s="39"/>
      <c r="C46" s="40"/>
      <c r="D46" s="40"/>
      <c r="E46" s="41"/>
      <c r="F46" s="40"/>
      <c r="G46" s="42" t="str">
        <f t="shared" si="13"/>
        <v/>
      </c>
      <c r="H46" s="40"/>
      <c r="I46" s="40"/>
      <c r="J46" s="42" t="str">
        <f t="shared" si="14"/>
        <v/>
      </c>
      <c r="K46" s="40"/>
      <c r="L46" s="40"/>
      <c r="M46" s="43" t="str">
        <f t="shared" si="15"/>
        <v/>
      </c>
      <c r="N46" s="38" t="str">
        <f t="shared" si="25"/>
        <v/>
      </c>
      <c r="O46" s="44" t="str">
        <f t="shared" si="16"/>
        <v/>
      </c>
      <c r="P46" s="38" t="str">
        <f t="shared" si="17"/>
        <v/>
      </c>
      <c r="Q46" s="45" t="str">
        <f t="shared" si="18"/>
        <v/>
      </c>
      <c r="R46" s="34" t="str">
        <f>IF(B46="","",SUMIFS('Registro de Ingresos'!$C:$C,'Registro de Ingresos'!$B:$B,B46)-SUMIFS('Registro de Egresos'!$C:$C,'Registro de Egresos'!$B:$B,B46))</f>
        <v/>
      </c>
      <c r="S46" s="46" t="str">
        <f t="shared" si="19"/>
        <v/>
      </c>
      <c r="T46" s="38" t="str">
        <f t="shared" si="20"/>
        <v/>
      </c>
      <c r="U46" s="47" t="str">
        <f t="shared" si="21"/>
        <v/>
      </c>
      <c r="V46" s="38" t="str">
        <f t="shared" si="22"/>
        <v/>
      </c>
      <c r="W46" s="38" t="str">
        <f t="shared" si="23"/>
        <v/>
      </c>
      <c r="X46" s="40"/>
      <c r="Y46" s="48"/>
      <c r="Z46" s="5" t="str">
        <f t="shared" si="24"/>
        <v/>
      </c>
    </row>
    <row r="47" spans="1:26" ht="15" customHeight="1" x14ac:dyDescent="0.25">
      <c r="A47" s="38">
        <v>36</v>
      </c>
      <c r="B47" s="39"/>
      <c r="C47" s="40"/>
      <c r="D47" s="40"/>
      <c r="E47" s="41"/>
      <c r="F47" s="40"/>
      <c r="G47" s="42" t="str">
        <f t="shared" si="13"/>
        <v/>
      </c>
      <c r="H47" s="40"/>
      <c r="I47" s="40"/>
      <c r="J47" s="42" t="str">
        <f t="shared" si="14"/>
        <v/>
      </c>
      <c r="K47" s="40"/>
      <c r="L47" s="40"/>
      <c r="M47" s="43" t="str">
        <f t="shared" si="15"/>
        <v/>
      </c>
      <c r="N47" s="38" t="str">
        <f t="shared" si="25"/>
        <v/>
      </c>
      <c r="O47" s="44" t="str">
        <f t="shared" si="16"/>
        <v/>
      </c>
      <c r="P47" s="38" t="str">
        <f t="shared" si="17"/>
        <v/>
      </c>
      <c r="Q47" s="45" t="str">
        <f t="shared" si="18"/>
        <v/>
      </c>
      <c r="R47" s="34" t="str">
        <f>IF(B47="","",SUMIFS('Registro de Ingresos'!$C:$C,'Registro de Ingresos'!$B:$B,B47)-SUMIFS('Registro de Egresos'!$C:$C,'Registro de Egresos'!$B:$B,B47))</f>
        <v/>
      </c>
      <c r="S47" s="46" t="str">
        <f t="shared" si="19"/>
        <v/>
      </c>
      <c r="T47" s="38" t="str">
        <f t="shared" si="20"/>
        <v/>
      </c>
      <c r="U47" s="47" t="str">
        <f t="shared" si="21"/>
        <v/>
      </c>
      <c r="V47" s="38" t="str">
        <f t="shared" si="22"/>
        <v/>
      </c>
      <c r="W47" s="38" t="str">
        <f t="shared" si="23"/>
        <v/>
      </c>
      <c r="X47" s="40"/>
      <c r="Y47" s="48"/>
      <c r="Z47" s="5" t="str">
        <f t="shared" si="24"/>
        <v/>
      </c>
    </row>
    <row r="48" spans="1:26" ht="24" customHeight="1" x14ac:dyDescent="0.25">
      <c r="A48" s="38">
        <v>37</v>
      </c>
      <c r="B48" s="39" t="s">
        <v>107</v>
      </c>
      <c r="C48" s="40" t="s">
        <v>27</v>
      </c>
      <c r="D48" s="40" t="s">
        <v>25</v>
      </c>
      <c r="E48" s="41">
        <v>36860.25</v>
      </c>
      <c r="F48" s="40">
        <v>1</v>
      </c>
      <c r="G48" s="42">
        <f t="shared" si="13"/>
        <v>36860.25</v>
      </c>
      <c r="H48" s="40">
        <v>20</v>
      </c>
      <c r="I48" s="40">
        <v>40</v>
      </c>
      <c r="J48" s="42">
        <f t="shared" si="14"/>
        <v>921.50625000000002</v>
      </c>
      <c r="K48" s="40">
        <v>5</v>
      </c>
      <c r="L48" s="40">
        <v>5</v>
      </c>
      <c r="M48" s="43">
        <f t="shared" si="15"/>
        <v>0.92678372566482559</v>
      </c>
      <c r="N48" s="38">
        <f t="shared" si="25"/>
        <v>1</v>
      </c>
      <c r="O48" s="44">
        <f t="shared" si="16"/>
        <v>0.21889914400237628</v>
      </c>
      <c r="P48" s="38" t="str">
        <f t="shared" si="17"/>
        <v>A</v>
      </c>
      <c r="Q48" s="45">
        <f t="shared" si="18"/>
        <v>0.5</v>
      </c>
      <c r="R48" s="34">
        <f>IF(B48="","",SUMIFS('Registro de Ingresos'!$C:$C,'Registro de Ingresos'!$B:$B,B48)-SUMIFS('Registro de Egresos'!$C:$C,'Registro de Egresos'!$B:$B,B48))</f>
        <v>0</v>
      </c>
      <c r="S48" s="46">
        <f t="shared" si="19"/>
        <v>5</v>
      </c>
      <c r="T48" s="38" t="str">
        <f t="shared" si="20"/>
        <v>REPONER AHORA</v>
      </c>
      <c r="U48" s="47">
        <f t="shared" ca="1" si="21"/>
        <v>46265</v>
      </c>
      <c r="V48" s="38">
        <f t="shared" ca="1" si="22"/>
        <v>31</v>
      </c>
      <c r="W48" s="38" t="str">
        <f t="shared" ca="1" si="23"/>
        <v>FUERA DE VENTANA</v>
      </c>
      <c r="X48" s="40"/>
      <c r="Y48" s="48"/>
      <c r="Z48" s="5">
        <f t="shared" si="24"/>
        <v>0.92678420566482556</v>
      </c>
    </row>
    <row r="49" spans="1:26" ht="24" customHeight="1" x14ac:dyDescent="0.25">
      <c r="A49" s="38">
        <v>38</v>
      </c>
      <c r="B49" s="39" t="s">
        <v>108</v>
      </c>
      <c r="C49" s="40" t="s">
        <v>27</v>
      </c>
      <c r="D49" s="40" t="s">
        <v>25</v>
      </c>
      <c r="E49" s="41">
        <v>37859.85</v>
      </c>
      <c r="F49" s="40">
        <v>1</v>
      </c>
      <c r="G49" s="42">
        <f t="shared" si="13"/>
        <v>37859.85</v>
      </c>
      <c r="H49" s="40">
        <v>5</v>
      </c>
      <c r="I49" s="40">
        <v>40</v>
      </c>
      <c r="J49" s="42">
        <f t="shared" si="14"/>
        <v>946.49624999999992</v>
      </c>
      <c r="K49" s="40">
        <v>5</v>
      </c>
      <c r="L49" s="40">
        <v>5</v>
      </c>
      <c r="M49" s="43">
        <f t="shared" si="15"/>
        <v>0.69145398399395541</v>
      </c>
      <c r="N49" s="38">
        <f t="shared" si="25"/>
        <v>2</v>
      </c>
      <c r="O49" s="44">
        <f t="shared" si="16"/>
        <v>0.38221522414257614</v>
      </c>
      <c r="P49" s="38" t="str">
        <f t="shared" si="17"/>
        <v>A</v>
      </c>
      <c r="Q49" s="45">
        <f t="shared" si="18"/>
        <v>0.5</v>
      </c>
      <c r="R49" s="34">
        <f>IF(B49="","",SUMIFS('Registro de Ingresos'!$C:$C,'Registro de Ingresos'!$B:$B,B49)-SUMIFS('Registro de Egresos'!$C:$C,'Registro de Egresos'!$B:$B,B49))</f>
        <v>0</v>
      </c>
      <c r="S49" s="46">
        <f t="shared" si="19"/>
        <v>2</v>
      </c>
      <c r="T49" s="38" t="str">
        <f t="shared" si="20"/>
        <v>REPONER AHORA</v>
      </c>
      <c r="U49" s="47">
        <f t="shared" ca="1" si="21"/>
        <v>46265</v>
      </c>
      <c r="V49" s="38">
        <f t="shared" ca="1" si="22"/>
        <v>31</v>
      </c>
      <c r="W49" s="38" t="str">
        <f t="shared" ca="1" si="23"/>
        <v>FUERA DE VENTANA</v>
      </c>
      <c r="X49" s="40"/>
      <c r="Y49" s="48"/>
      <c r="Z49" s="5">
        <f t="shared" si="24"/>
        <v>0.69145447399395543</v>
      </c>
    </row>
    <row r="50" spans="1:26" ht="24" customHeight="1" x14ac:dyDescent="0.25">
      <c r="A50" s="38">
        <v>39</v>
      </c>
      <c r="B50" s="39" t="s">
        <v>109</v>
      </c>
      <c r="C50" s="40" t="s">
        <v>27</v>
      </c>
      <c r="D50" s="40" t="s">
        <v>25</v>
      </c>
      <c r="E50" s="41">
        <v>36860.25</v>
      </c>
      <c r="F50" s="40">
        <v>1</v>
      </c>
      <c r="G50" s="42">
        <f t="shared" si="13"/>
        <v>36860.25</v>
      </c>
      <c r="H50" s="40">
        <v>5</v>
      </c>
      <c r="I50" s="40">
        <v>20</v>
      </c>
      <c r="J50" s="42">
        <f t="shared" si="14"/>
        <v>1843.0125</v>
      </c>
      <c r="K50" s="40">
        <v>5</v>
      </c>
      <c r="L50" s="40">
        <v>5</v>
      </c>
      <c r="M50" s="43">
        <f t="shared" si="15"/>
        <v>0.69116625578530744</v>
      </c>
      <c r="N50" s="38">
        <f t="shared" si="25"/>
        <v>3</v>
      </c>
      <c r="O50" s="44">
        <f t="shared" si="16"/>
        <v>0.54546334510650407</v>
      </c>
      <c r="P50" s="38" t="str">
        <f t="shared" si="17"/>
        <v>A</v>
      </c>
      <c r="Q50" s="45">
        <f t="shared" si="18"/>
        <v>0.5</v>
      </c>
      <c r="R50" s="34">
        <f>IF(B50="","",SUMIFS('Registro de Ingresos'!$C:$C,'Registro de Ingresos'!$B:$B,B50)-SUMIFS('Registro de Egresos'!$C:$C,'Registro de Egresos'!$B:$B,B50))</f>
        <v>0</v>
      </c>
      <c r="S50" s="46">
        <f t="shared" si="19"/>
        <v>2</v>
      </c>
      <c r="T50" s="38" t="str">
        <f t="shared" si="20"/>
        <v>REPONER AHORA</v>
      </c>
      <c r="U50" s="47">
        <f t="shared" ca="1" si="21"/>
        <v>46265</v>
      </c>
      <c r="V50" s="38">
        <f t="shared" ca="1" si="22"/>
        <v>31</v>
      </c>
      <c r="W50" s="38" t="str">
        <f t="shared" ca="1" si="23"/>
        <v>FUERA DE VENTANA</v>
      </c>
      <c r="X50" s="40"/>
      <c r="Y50" s="48"/>
      <c r="Z50" s="5">
        <f t="shared" si="24"/>
        <v>0.6911667557853074</v>
      </c>
    </row>
    <row r="51" spans="1:26" ht="15" customHeight="1" x14ac:dyDescent="0.25">
      <c r="A51" s="38">
        <v>40</v>
      </c>
      <c r="B51" s="39" t="s">
        <v>110</v>
      </c>
      <c r="C51" s="40" t="s">
        <v>24</v>
      </c>
      <c r="D51" s="40"/>
      <c r="E51" s="41">
        <v>9460.5</v>
      </c>
      <c r="F51" s="40">
        <v>1</v>
      </c>
      <c r="G51" s="42">
        <f t="shared" si="13"/>
        <v>9460.5</v>
      </c>
      <c r="H51" s="40">
        <v>0.1</v>
      </c>
      <c r="I51" s="40"/>
      <c r="J51" s="42" t="str">
        <f t="shared" si="14"/>
        <v/>
      </c>
      <c r="K51" s="40"/>
      <c r="L51" s="40"/>
      <c r="M51" s="43" t="str">
        <f t="shared" si="15"/>
        <v/>
      </c>
      <c r="N51" s="38" t="str">
        <f t="shared" si="25"/>
        <v/>
      </c>
      <c r="O51" s="44" t="str">
        <f t="shared" si="16"/>
        <v/>
      </c>
      <c r="P51" s="38" t="str">
        <f t="shared" si="17"/>
        <v/>
      </c>
      <c r="Q51" s="45" t="str">
        <f t="shared" si="18"/>
        <v/>
      </c>
      <c r="R51" s="34">
        <f>IF(B51="","",SUMIFS('Registro de Ingresos'!$C:$C,'Registro de Ingresos'!$B:$B,B51)-SUMIFS('Registro de Egresos'!$C:$C,'Registro de Egresos'!$B:$B,B51))</f>
        <v>0</v>
      </c>
      <c r="S51" s="46" t="str">
        <f t="shared" si="19"/>
        <v/>
      </c>
      <c r="T51" s="38" t="str">
        <f t="shared" si="20"/>
        <v/>
      </c>
      <c r="U51" s="47" t="str">
        <f t="shared" si="21"/>
        <v/>
      </c>
      <c r="V51" s="38" t="str">
        <f t="shared" si="22"/>
        <v/>
      </c>
      <c r="W51" s="38" t="str">
        <f t="shared" si="23"/>
        <v/>
      </c>
      <c r="X51" s="40"/>
      <c r="Y51" s="48"/>
      <c r="Z51" s="5" t="str">
        <f t="shared" si="24"/>
        <v/>
      </c>
    </row>
    <row r="52" spans="1:26" ht="15" customHeight="1" x14ac:dyDescent="0.25">
      <c r="A52" s="38">
        <v>41</v>
      </c>
      <c r="B52" s="39" t="s">
        <v>111</v>
      </c>
      <c r="C52" s="40" t="s">
        <v>24</v>
      </c>
      <c r="D52" s="40" t="s">
        <v>112</v>
      </c>
      <c r="E52" s="41">
        <v>33302.15</v>
      </c>
      <c r="F52" s="40">
        <v>1</v>
      </c>
      <c r="G52" s="42">
        <f t="shared" si="13"/>
        <v>33302.15</v>
      </c>
      <c r="H52" s="40">
        <v>1</v>
      </c>
      <c r="I52" s="40">
        <v>100</v>
      </c>
      <c r="J52" s="42">
        <f t="shared" si="14"/>
        <v>333.0215</v>
      </c>
      <c r="K52" s="40">
        <v>1</v>
      </c>
      <c r="L52" s="40">
        <v>3</v>
      </c>
      <c r="M52" s="43">
        <f t="shared" si="15"/>
        <v>4.112186618585989E-2</v>
      </c>
      <c r="N52" s="38">
        <f t="shared" si="25"/>
        <v>13</v>
      </c>
      <c r="O52" s="44">
        <f t="shared" si="16"/>
        <v>1</v>
      </c>
      <c r="P52" s="38" t="str">
        <f t="shared" si="17"/>
        <v>C</v>
      </c>
      <c r="Q52" s="45">
        <f t="shared" si="18"/>
        <v>0.15</v>
      </c>
      <c r="R52" s="34">
        <f>IF(B52="","",SUMIFS('Registro de Ingresos'!$C:$C,'Registro de Ingresos'!$B:$B,B52)-SUMIFS('Registro de Egresos'!$C:$C,'Registro de Egresos'!$B:$B,B52))</f>
        <v>0</v>
      </c>
      <c r="S52" s="46">
        <f t="shared" si="19"/>
        <v>1</v>
      </c>
      <c r="T52" s="38" t="str">
        <f t="shared" si="20"/>
        <v>REPONER AHORA</v>
      </c>
      <c r="U52" s="47">
        <f t="shared" ca="1" si="21"/>
        <v>46265</v>
      </c>
      <c r="V52" s="38">
        <f t="shared" ca="1" si="22"/>
        <v>31</v>
      </c>
      <c r="W52" s="38" t="str">
        <f t="shared" ca="1" si="23"/>
        <v>FUERA DE VENTANA</v>
      </c>
      <c r="X52" s="40"/>
      <c r="Y52" s="48"/>
      <c r="Z52" s="5">
        <f t="shared" si="24"/>
        <v>4.1122386185859887E-2</v>
      </c>
    </row>
    <row r="53" spans="1:26" ht="15" customHeight="1" x14ac:dyDescent="0.25">
      <c r="A53" s="38">
        <v>42</v>
      </c>
      <c r="B53" s="39" t="s">
        <v>113</v>
      </c>
      <c r="C53" s="40" t="s">
        <v>24</v>
      </c>
      <c r="D53" s="40" t="s">
        <v>112</v>
      </c>
      <c r="E53" s="41">
        <v>33837.65</v>
      </c>
      <c r="F53" s="40">
        <v>1</v>
      </c>
      <c r="G53" s="42">
        <f t="shared" si="13"/>
        <v>33837.65</v>
      </c>
      <c r="H53" s="40">
        <v>1</v>
      </c>
      <c r="I53" s="40">
        <v>100</v>
      </c>
      <c r="J53" s="42">
        <f t="shared" si="14"/>
        <v>338.37650000000002</v>
      </c>
      <c r="K53" s="40">
        <v>1</v>
      </c>
      <c r="L53" s="40">
        <v>3</v>
      </c>
      <c r="M53" s="43">
        <f t="shared" si="15"/>
        <v>4.1276006297635545E-2</v>
      </c>
      <c r="N53" s="38">
        <f t="shared" si="25"/>
        <v>12</v>
      </c>
      <c r="O53" s="44">
        <f t="shared" si="16"/>
        <v>0.99028733343217923</v>
      </c>
      <c r="P53" s="38" t="str">
        <f t="shared" si="17"/>
        <v>C</v>
      </c>
      <c r="Q53" s="45">
        <f t="shared" si="18"/>
        <v>0.15</v>
      </c>
      <c r="R53" s="34">
        <f>IF(B53="","",SUMIFS('Registro de Ingresos'!$C:$C,'Registro de Ingresos'!$B:$B,B53)-SUMIFS('Registro de Egresos'!$C:$C,'Registro de Egresos'!$B:$B,B53))</f>
        <v>0</v>
      </c>
      <c r="S53" s="46">
        <f t="shared" si="19"/>
        <v>1</v>
      </c>
      <c r="T53" s="38" t="str">
        <f t="shared" si="20"/>
        <v>REPONER AHORA</v>
      </c>
      <c r="U53" s="47">
        <f t="shared" ca="1" si="21"/>
        <v>46265</v>
      </c>
      <c r="V53" s="38">
        <f t="shared" ca="1" si="22"/>
        <v>31</v>
      </c>
      <c r="W53" s="38" t="str">
        <f t="shared" ca="1" si="23"/>
        <v>FUERA DE VENTANA</v>
      </c>
      <c r="X53" s="40"/>
      <c r="Y53" s="48"/>
      <c r="Z53" s="5">
        <f t="shared" si="24"/>
        <v>4.1276536297635544E-2</v>
      </c>
    </row>
    <row r="54" spans="1:26" ht="24" customHeight="1" x14ac:dyDescent="0.25">
      <c r="A54" s="38">
        <v>43</v>
      </c>
      <c r="B54" s="39" t="s">
        <v>114</v>
      </c>
      <c r="C54" s="40" t="s">
        <v>27</v>
      </c>
      <c r="D54" s="40" t="s">
        <v>31</v>
      </c>
      <c r="E54" s="41">
        <v>26640.53</v>
      </c>
      <c r="F54" s="40">
        <v>1</v>
      </c>
      <c r="G54" s="42">
        <f t="shared" si="13"/>
        <v>26640.53</v>
      </c>
      <c r="H54" s="40">
        <v>1</v>
      </c>
      <c r="I54" s="40">
        <v>20</v>
      </c>
      <c r="J54" s="42">
        <f t="shared" si="14"/>
        <v>1332.0264999999999</v>
      </c>
      <c r="K54" s="40">
        <v>2</v>
      </c>
      <c r="L54" s="40">
        <v>5</v>
      </c>
      <c r="M54" s="43">
        <f t="shared" si="15"/>
        <v>0.19856825208425952</v>
      </c>
      <c r="N54" s="38">
        <f t="shared" si="25"/>
        <v>10</v>
      </c>
      <c r="O54" s="44">
        <f t="shared" si="16"/>
        <v>0.9348167437520466</v>
      </c>
      <c r="P54" s="38" t="str">
        <f t="shared" si="17"/>
        <v>C</v>
      </c>
      <c r="Q54" s="45">
        <f t="shared" si="18"/>
        <v>0.15</v>
      </c>
      <c r="R54" s="34">
        <f>IF(B54="","",SUMIFS('Registro de Ingresos'!$C:$C,'Registro de Ingresos'!$B:$B,B54)-SUMIFS('Registro de Egresos'!$C:$C,'Registro de Egresos'!$B:$B,B54))</f>
        <v>0</v>
      </c>
      <c r="S54" s="46">
        <f t="shared" si="19"/>
        <v>1</v>
      </c>
      <c r="T54" s="38" t="str">
        <f t="shared" si="20"/>
        <v>REPONER AHORA</v>
      </c>
      <c r="U54" s="47">
        <f t="shared" ca="1" si="21"/>
        <v>46265</v>
      </c>
      <c r="V54" s="38">
        <f t="shared" ca="1" si="22"/>
        <v>31</v>
      </c>
      <c r="W54" s="38" t="str">
        <f t="shared" ca="1" si="23"/>
        <v>FUERA DE VENTANA</v>
      </c>
      <c r="X54" s="40"/>
      <c r="Y54" s="48"/>
      <c r="Z54" s="5">
        <f t="shared" si="24"/>
        <v>0.19856879208425951</v>
      </c>
    </row>
    <row r="55" spans="1:26" ht="24" customHeight="1" x14ac:dyDescent="0.25">
      <c r="A55" s="38">
        <v>44</v>
      </c>
      <c r="B55" s="39" t="s">
        <v>115</v>
      </c>
      <c r="C55" s="40" t="s">
        <v>27</v>
      </c>
      <c r="D55" s="40" t="s">
        <v>31</v>
      </c>
      <c r="E55" s="41">
        <v>47600</v>
      </c>
      <c r="F55" s="40">
        <v>1</v>
      </c>
      <c r="G55" s="42">
        <f t="shared" si="13"/>
        <v>47600</v>
      </c>
      <c r="H55" s="40">
        <v>0.17</v>
      </c>
      <c r="I55" s="40"/>
      <c r="J55" s="42" t="str">
        <f t="shared" si="14"/>
        <v/>
      </c>
      <c r="K55" s="40"/>
      <c r="L55" s="40"/>
      <c r="M55" s="43" t="str">
        <f t="shared" si="15"/>
        <v/>
      </c>
      <c r="N55" s="38" t="str">
        <f t="shared" si="25"/>
        <v/>
      </c>
      <c r="O55" s="44" t="str">
        <f t="shared" si="16"/>
        <v/>
      </c>
      <c r="P55" s="38" t="str">
        <f t="shared" si="17"/>
        <v/>
      </c>
      <c r="Q55" s="45" t="str">
        <f t="shared" si="18"/>
        <v/>
      </c>
      <c r="R55" s="34">
        <f>IF(B55="","",SUMIFS('Registro de Ingresos'!$C:$C,'Registro de Ingresos'!$B:$B,B55)-SUMIFS('Registro de Egresos'!$C:$C,'Registro de Egresos'!$B:$B,B55))</f>
        <v>0</v>
      </c>
      <c r="S55" s="46" t="str">
        <f t="shared" si="19"/>
        <v/>
      </c>
      <c r="T55" s="38" t="str">
        <f t="shared" si="20"/>
        <v/>
      </c>
      <c r="U55" s="47" t="str">
        <f t="shared" si="21"/>
        <v/>
      </c>
      <c r="V55" s="38" t="str">
        <f t="shared" si="22"/>
        <v/>
      </c>
      <c r="W55" s="38" t="str">
        <f t="shared" si="23"/>
        <v/>
      </c>
      <c r="X55" s="40"/>
      <c r="Y55" s="48"/>
      <c r="Z55" s="5" t="str">
        <f t="shared" si="24"/>
        <v/>
      </c>
    </row>
    <row r="56" spans="1:26" ht="15" customHeight="1" x14ac:dyDescent="0.25">
      <c r="A56" s="38">
        <v>45</v>
      </c>
      <c r="B56" s="39" t="s">
        <v>116</v>
      </c>
      <c r="C56" s="40" t="s">
        <v>24</v>
      </c>
      <c r="D56" s="40" t="s">
        <v>31</v>
      </c>
      <c r="E56" s="41">
        <v>6842.5</v>
      </c>
      <c r="F56" s="40">
        <v>1</v>
      </c>
      <c r="G56" s="42">
        <f t="shared" si="13"/>
        <v>6842.5</v>
      </c>
      <c r="H56" s="40">
        <v>0.83</v>
      </c>
      <c r="I56" s="40"/>
      <c r="J56" s="42" t="str">
        <f t="shared" si="14"/>
        <v/>
      </c>
      <c r="K56" s="40"/>
      <c r="L56" s="40"/>
      <c r="M56" s="43" t="str">
        <f t="shared" si="15"/>
        <v/>
      </c>
      <c r="N56" s="38" t="str">
        <f t="shared" si="25"/>
        <v/>
      </c>
      <c r="O56" s="44" t="str">
        <f t="shared" si="16"/>
        <v/>
      </c>
      <c r="P56" s="38" t="str">
        <f t="shared" si="17"/>
        <v/>
      </c>
      <c r="Q56" s="45" t="str">
        <f t="shared" si="18"/>
        <v/>
      </c>
      <c r="R56" s="34">
        <f>IF(B56="","",SUMIFS('Registro de Ingresos'!$C:$C,'Registro de Ingresos'!$B:$B,B56)-SUMIFS('Registro de Egresos'!$C:$C,'Registro de Egresos'!$B:$B,B56))</f>
        <v>0</v>
      </c>
      <c r="S56" s="46" t="str">
        <f t="shared" si="19"/>
        <v/>
      </c>
      <c r="T56" s="38" t="str">
        <f t="shared" si="20"/>
        <v/>
      </c>
      <c r="U56" s="47" t="str">
        <f t="shared" si="21"/>
        <v/>
      </c>
      <c r="V56" s="38" t="str">
        <f t="shared" si="22"/>
        <v/>
      </c>
      <c r="W56" s="38" t="str">
        <f t="shared" si="23"/>
        <v/>
      </c>
      <c r="X56" s="40"/>
      <c r="Y56" s="48"/>
      <c r="Z56" s="5" t="str">
        <f t="shared" si="24"/>
        <v/>
      </c>
    </row>
    <row r="57" spans="1:26" ht="24" customHeight="1" x14ac:dyDescent="0.25">
      <c r="A57" s="38">
        <v>46</v>
      </c>
      <c r="B57" s="39" t="s">
        <v>117</v>
      </c>
      <c r="C57" s="40" t="s">
        <v>27</v>
      </c>
      <c r="D57" s="40" t="s">
        <v>28</v>
      </c>
      <c r="E57" s="41">
        <v>9722.2999999999993</v>
      </c>
      <c r="F57" s="40">
        <v>6</v>
      </c>
      <c r="G57" s="42">
        <f t="shared" si="13"/>
        <v>58333.799999999996</v>
      </c>
      <c r="H57" s="40">
        <v>2</v>
      </c>
      <c r="I57" s="40">
        <v>30</v>
      </c>
      <c r="J57" s="42">
        <f t="shared" si="14"/>
        <v>1944.4599999999998</v>
      </c>
      <c r="K57" s="40">
        <v>2</v>
      </c>
      <c r="L57" s="40">
        <v>5</v>
      </c>
      <c r="M57" s="43">
        <f t="shared" si="15"/>
        <v>0.20940628347819493</v>
      </c>
      <c r="N57" s="38">
        <f t="shared" si="25"/>
        <v>7</v>
      </c>
      <c r="O57" s="44">
        <f t="shared" si="16"/>
        <v>0.78917003417789566</v>
      </c>
      <c r="P57" s="38" t="str">
        <f t="shared" si="17"/>
        <v>B</v>
      </c>
      <c r="Q57" s="45">
        <f t="shared" si="18"/>
        <v>0.3</v>
      </c>
      <c r="R57" s="34">
        <f>IF(B57="","",SUMIFS('Registro de Ingresos'!$C:$C,'Registro de Ingresos'!$B:$B,B57)-SUMIFS('Registro de Egresos'!$C:$C,'Registro de Egresos'!$B:$B,B57))</f>
        <v>0</v>
      </c>
      <c r="S57" s="46">
        <f t="shared" si="19"/>
        <v>6</v>
      </c>
      <c r="T57" s="38" t="str">
        <f t="shared" si="20"/>
        <v>REPONER AHORA</v>
      </c>
      <c r="U57" s="47">
        <f t="shared" ca="1" si="21"/>
        <v>46265</v>
      </c>
      <c r="V57" s="38">
        <f t="shared" ca="1" si="22"/>
        <v>31</v>
      </c>
      <c r="W57" s="38" t="str">
        <f t="shared" ca="1" si="23"/>
        <v>FUERA DE VENTANA</v>
      </c>
      <c r="X57" s="40"/>
      <c r="Y57" s="48"/>
      <c r="Z57" s="5">
        <f t="shared" si="24"/>
        <v>0.20940685347819493</v>
      </c>
    </row>
    <row r="58" spans="1:26" ht="24" customHeight="1" x14ac:dyDescent="0.25">
      <c r="A58" s="38">
        <v>47</v>
      </c>
      <c r="B58" s="39" t="s">
        <v>118</v>
      </c>
      <c r="C58" s="40" t="s">
        <v>27</v>
      </c>
      <c r="D58" s="40" t="s">
        <v>31</v>
      </c>
      <c r="E58" s="41">
        <v>116203.5</v>
      </c>
      <c r="F58" s="40">
        <v>1</v>
      </c>
      <c r="G58" s="42">
        <f t="shared" si="13"/>
        <v>116203.5</v>
      </c>
      <c r="H58" s="40">
        <v>0.08</v>
      </c>
      <c r="I58" s="40"/>
      <c r="J58" s="42" t="str">
        <f t="shared" si="14"/>
        <v/>
      </c>
      <c r="K58" s="40"/>
      <c r="L58" s="40"/>
      <c r="M58" s="43" t="str">
        <f t="shared" si="15"/>
        <v/>
      </c>
      <c r="N58" s="38" t="str">
        <f t="shared" si="25"/>
        <v/>
      </c>
      <c r="O58" s="44" t="str">
        <f t="shared" si="16"/>
        <v/>
      </c>
      <c r="P58" s="38" t="str">
        <f t="shared" si="17"/>
        <v/>
      </c>
      <c r="Q58" s="45" t="str">
        <f t="shared" si="18"/>
        <v/>
      </c>
      <c r="R58" s="34">
        <f>IF(B58="","",SUMIFS('Registro de Ingresos'!$C:$C,'Registro de Ingresos'!$B:$B,B58)-SUMIFS('Registro de Egresos'!$C:$C,'Registro de Egresos'!$B:$B,B58))</f>
        <v>0</v>
      </c>
      <c r="S58" s="46" t="str">
        <f t="shared" si="19"/>
        <v/>
      </c>
      <c r="T58" s="38" t="str">
        <f t="shared" si="20"/>
        <v/>
      </c>
      <c r="U58" s="47" t="str">
        <f t="shared" si="21"/>
        <v/>
      </c>
      <c r="V58" s="38" t="str">
        <f t="shared" si="22"/>
        <v/>
      </c>
      <c r="W58" s="38" t="str">
        <f t="shared" si="23"/>
        <v/>
      </c>
      <c r="X58" s="40"/>
      <c r="Y58" s="48"/>
      <c r="Z58" s="5" t="str">
        <f t="shared" si="24"/>
        <v/>
      </c>
    </row>
    <row r="59" spans="1:26" ht="24" customHeight="1" x14ac:dyDescent="0.25">
      <c r="A59" s="38">
        <v>48</v>
      </c>
      <c r="B59" s="39" t="s">
        <v>119</v>
      </c>
      <c r="C59" s="40" t="s">
        <v>27</v>
      </c>
      <c r="D59" s="40" t="s">
        <v>31</v>
      </c>
      <c r="E59" s="41">
        <v>9240.35</v>
      </c>
      <c r="F59" s="40">
        <v>1</v>
      </c>
      <c r="G59" s="42">
        <f t="shared" si="13"/>
        <v>9240.35</v>
      </c>
      <c r="H59" s="40">
        <v>2</v>
      </c>
      <c r="I59" s="40">
        <v>10</v>
      </c>
      <c r="J59" s="42">
        <f t="shared" si="14"/>
        <v>924.03500000000008</v>
      </c>
      <c r="K59" s="40">
        <v>2</v>
      </c>
      <c r="L59" s="40">
        <v>5</v>
      </c>
      <c r="M59" s="43">
        <f t="shared" si="15"/>
        <v>0.20926755737759681</v>
      </c>
      <c r="N59" s="38">
        <f t="shared" si="25"/>
        <v>8</v>
      </c>
      <c r="O59" s="44">
        <f t="shared" si="16"/>
        <v>0.83859741179457048</v>
      </c>
      <c r="P59" s="38" t="str">
        <f t="shared" si="17"/>
        <v>C</v>
      </c>
      <c r="Q59" s="45">
        <f t="shared" si="18"/>
        <v>0.15</v>
      </c>
      <c r="R59" s="34">
        <f>IF(B59="","",SUMIFS('Registro de Ingresos'!$C:$C,'Registro de Ingresos'!$B:$B,B59)-SUMIFS('Registro de Egresos'!$C:$C,'Registro de Egresos'!$B:$B,B59))</f>
        <v>0</v>
      </c>
      <c r="S59" s="46">
        <f t="shared" si="19"/>
        <v>1</v>
      </c>
      <c r="T59" s="38" t="str">
        <f t="shared" si="20"/>
        <v>REPONER AHORA</v>
      </c>
      <c r="U59" s="47">
        <f t="shared" ca="1" si="21"/>
        <v>46265</v>
      </c>
      <c r="V59" s="38">
        <f t="shared" ca="1" si="22"/>
        <v>31</v>
      </c>
      <c r="W59" s="38" t="str">
        <f t="shared" ca="1" si="23"/>
        <v>FUERA DE VENTANA</v>
      </c>
      <c r="X59" s="40"/>
      <c r="Y59" s="48"/>
      <c r="Z59" s="5">
        <f t="shared" si="24"/>
        <v>0.2092681473775968</v>
      </c>
    </row>
    <row r="60" spans="1:26" ht="24" customHeight="1" x14ac:dyDescent="0.25">
      <c r="A60" s="38">
        <v>49</v>
      </c>
      <c r="B60" s="39" t="s">
        <v>120</v>
      </c>
      <c r="C60" s="40" t="s">
        <v>27</v>
      </c>
      <c r="D60" s="40" t="s">
        <v>28</v>
      </c>
      <c r="E60" s="41">
        <v>16162.58</v>
      </c>
      <c r="F60" s="40">
        <v>4</v>
      </c>
      <c r="G60" s="42">
        <f t="shared" si="13"/>
        <v>64650.32</v>
      </c>
      <c r="H60" s="40">
        <v>2</v>
      </c>
      <c r="I60" s="40">
        <v>30</v>
      </c>
      <c r="J60" s="42">
        <f t="shared" si="14"/>
        <v>2155.0106666666666</v>
      </c>
      <c r="K60" s="40">
        <v>2</v>
      </c>
      <c r="L60" s="40">
        <v>5</v>
      </c>
      <c r="M60" s="43">
        <f t="shared" si="15"/>
        <v>0.21126007522248355</v>
      </c>
      <c r="N60" s="38">
        <f t="shared" si="25"/>
        <v>6</v>
      </c>
      <c r="O60" s="44">
        <f t="shared" si="16"/>
        <v>0.73970989052980396</v>
      </c>
      <c r="P60" s="38" t="str">
        <f t="shared" si="17"/>
        <v>B</v>
      </c>
      <c r="Q60" s="45">
        <f t="shared" si="18"/>
        <v>0.3</v>
      </c>
      <c r="R60" s="34">
        <f>IF(B60="","",SUMIFS('Registro de Ingresos'!$C:$C,'Registro de Ingresos'!$B:$B,B60)-SUMIFS('Registro de Egresos'!$C:$C,'Registro de Egresos'!$B:$B,B60))</f>
        <v>0</v>
      </c>
      <c r="S60" s="46">
        <f t="shared" si="19"/>
        <v>4</v>
      </c>
      <c r="T60" s="38" t="str">
        <f t="shared" si="20"/>
        <v>REPONER AHORA</v>
      </c>
      <c r="U60" s="47">
        <f t="shared" ca="1" si="21"/>
        <v>46265</v>
      </c>
      <c r="V60" s="38">
        <f t="shared" ca="1" si="22"/>
        <v>31</v>
      </c>
      <c r="W60" s="38" t="str">
        <f t="shared" ca="1" si="23"/>
        <v>FUERA DE VENTANA</v>
      </c>
      <c r="X60" s="40"/>
      <c r="Y60" s="48"/>
      <c r="Z60" s="5">
        <f t="shared" si="24"/>
        <v>0.21126067522248354</v>
      </c>
    </row>
    <row r="61" spans="1:26" ht="24" customHeight="1" x14ac:dyDescent="0.25">
      <c r="A61" s="38">
        <v>50</v>
      </c>
      <c r="B61" s="39" t="s">
        <v>121</v>
      </c>
      <c r="C61" s="40" t="s">
        <v>27</v>
      </c>
      <c r="D61" s="40" t="s">
        <v>31</v>
      </c>
      <c r="E61" s="41">
        <v>7646.94</v>
      </c>
      <c r="F61" s="40">
        <v>1</v>
      </c>
      <c r="G61" s="42">
        <f t="shared" si="13"/>
        <v>7646.94</v>
      </c>
      <c r="H61" s="40">
        <v>2</v>
      </c>
      <c r="I61" s="40">
        <v>10</v>
      </c>
      <c r="J61" s="42">
        <f t="shared" si="14"/>
        <v>764.69399999999996</v>
      </c>
      <c r="K61" s="40">
        <v>2</v>
      </c>
      <c r="L61" s="40">
        <v>5</v>
      </c>
      <c r="M61" s="43">
        <f t="shared" si="15"/>
        <v>0.20880890491166879</v>
      </c>
      <c r="N61" s="38">
        <f t="shared" si="25"/>
        <v>9</v>
      </c>
      <c r="O61" s="44">
        <f t="shared" si="16"/>
        <v>0.88791645924811657</v>
      </c>
      <c r="P61" s="38" t="str">
        <f t="shared" si="17"/>
        <v>C</v>
      </c>
      <c r="Q61" s="45">
        <f t="shared" si="18"/>
        <v>0.15</v>
      </c>
      <c r="R61" s="34">
        <f>IF(B61="","",SUMIFS('Registro de Ingresos'!$C:$C,'Registro de Ingresos'!$B:$B,B61)-SUMIFS('Registro de Egresos'!$C:$C,'Registro de Egresos'!$B:$B,B61))</f>
        <v>0</v>
      </c>
      <c r="S61" s="46">
        <f t="shared" si="19"/>
        <v>1</v>
      </c>
      <c r="T61" s="38" t="str">
        <f t="shared" si="20"/>
        <v>REPONER AHORA</v>
      </c>
      <c r="U61" s="47">
        <f t="shared" ca="1" si="21"/>
        <v>46265</v>
      </c>
      <c r="V61" s="38">
        <f t="shared" ca="1" si="22"/>
        <v>31</v>
      </c>
      <c r="W61" s="38" t="str">
        <f t="shared" ca="1" si="23"/>
        <v>FUERA DE VENTANA</v>
      </c>
      <c r="X61" s="40"/>
      <c r="Y61" s="48"/>
      <c r="Z61" s="5">
        <f t="shared" si="24"/>
        <v>0.2088095149116688</v>
      </c>
    </row>
    <row r="62" spans="1:26" ht="24" customHeight="1" x14ac:dyDescent="0.25">
      <c r="A62" s="38">
        <v>51</v>
      </c>
      <c r="B62" s="39" t="s">
        <v>122</v>
      </c>
      <c r="C62" s="40" t="s">
        <v>27</v>
      </c>
      <c r="D62" s="40" t="s">
        <v>31</v>
      </c>
      <c r="E62" s="41">
        <v>9302.23</v>
      </c>
      <c r="F62" s="40">
        <v>1</v>
      </c>
      <c r="G62" s="42">
        <f t="shared" si="13"/>
        <v>9302.23</v>
      </c>
      <c r="H62" s="40">
        <v>1</v>
      </c>
      <c r="I62" s="40">
        <v>10</v>
      </c>
      <c r="J62" s="42">
        <f t="shared" si="14"/>
        <v>930.22299999999996</v>
      </c>
      <c r="K62" s="40">
        <v>2</v>
      </c>
      <c r="L62" s="40">
        <v>5</v>
      </c>
      <c r="M62" s="43">
        <f t="shared" si="15"/>
        <v>0.19357753779854525</v>
      </c>
      <c r="N62" s="38">
        <f t="shared" si="25"/>
        <v>11</v>
      </c>
      <c r="O62" s="44">
        <f t="shared" si="16"/>
        <v>0.98053826016278456</v>
      </c>
      <c r="P62" s="38" t="str">
        <f t="shared" si="17"/>
        <v>C</v>
      </c>
      <c r="Q62" s="45">
        <f t="shared" si="18"/>
        <v>0.15</v>
      </c>
      <c r="R62" s="34">
        <f>IF(B62="","",SUMIFS('Registro de Ingresos'!$C:$C,'Registro de Ingresos'!$B:$B,B62)-SUMIFS('Registro de Egresos'!$C:$C,'Registro de Egresos'!$B:$B,B62))</f>
        <v>0</v>
      </c>
      <c r="S62" s="46">
        <f t="shared" si="19"/>
        <v>1</v>
      </c>
      <c r="T62" s="38" t="str">
        <f t="shared" si="20"/>
        <v>REPONER AHORA</v>
      </c>
      <c r="U62" s="47">
        <f t="shared" ca="1" si="21"/>
        <v>46265</v>
      </c>
      <c r="V62" s="38">
        <f t="shared" ca="1" si="22"/>
        <v>31</v>
      </c>
      <c r="W62" s="38" t="str">
        <f t="shared" ca="1" si="23"/>
        <v>FUERA DE VENTANA</v>
      </c>
      <c r="X62" s="40"/>
      <c r="Y62" s="48"/>
      <c r="Z62" s="5">
        <f t="shared" si="24"/>
        <v>0.19357815779854526</v>
      </c>
    </row>
    <row r="63" spans="1:26" ht="24" customHeight="1" x14ac:dyDescent="0.25">
      <c r="A63" s="38">
        <v>52</v>
      </c>
      <c r="B63" s="39" t="s">
        <v>123</v>
      </c>
      <c r="C63" s="40" t="s">
        <v>24</v>
      </c>
      <c r="D63" s="40"/>
      <c r="E63" s="41">
        <v>142800</v>
      </c>
      <c r="F63" s="40">
        <v>1</v>
      </c>
      <c r="G63" s="42">
        <f t="shared" si="13"/>
        <v>142800</v>
      </c>
      <c r="H63" s="40">
        <v>0.08</v>
      </c>
      <c r="I63" s="40"/>
      <c r="J63" s="42" t="str">
        <f t="shared" si="14"/>
        <v/>
      </c>
      <c r="K63" s="40"/>
      <c r="L63" s="40"/>
      <c r="M63" s="43" t="str">
        <f t="shared" si="15"/>
        <v/>
      </c>
      <c r="N63" s="38" t="str">
        <f t="shared" si="25"/>
        <v/>
      </c>
      <c r="O63" s="44" t="str">
        <f t="shared" si="16"/>
        <v/>
      </c>
      <c r="P63" s="38" t="str">
        <f t="shared" si="17"/>
        <v/>
      </c>
      <c r="Q63" s="45" t="str">
        <f t="shared" si="18"/>
        <v/>
      </c>
      <c r="R63" s="34">
        <f>IF(B63="","",SUMIFS('Registro de Ingresos'!$C:$C,'Registro de Ingresos'!$B:$B,B63)-SUMIFS('Registro de Egresos'!$C:$C,'Registro de Egresos'!$B:$B,B63))</f>
        <v>0</v>
      </c>
      <c r="S63" s="46" t="str">
        <f t="shared" si="19"/>
        <v/>
      </c>
      <c r="T63" s="38" t="str">
        <f t="shared" si="20"/>
        <v/>
      </c>
      <c r="U63" s="47" t="str">
        <f t="shared" si="21"/>
        <v/>
      </c>
      <c r="V63" s="38" t="str">
        <f t="shared" si="22"/>
        <v/>
      </c>
      <c r="W63" s="38" t="str">
        <f t="shared" si="23"/>
        <v/>
      </c>
      <c r="X63" s="40"/>
      <c r="Y63" s="48"/>
      <c r="Z63" s="5" t="str">
        <f t="shared" si="24"/>
        <v/>
      </c>
    </row>
    <row r="64" spans="1:26" ht="24" customHeight="1" x14ac:dyDescent="0.25">
      <c r="A64" s="38">
        <v>53</v>
      </c>
      <c r="B64" s="39" t="s">
        <v>124</v>
      </c>
      <c r="C64" s="40" t="s">
        <v>24</v>
      </c>
      <c r="D64" s="40"/>
      <c r="E64" s="41">
        <v>142800</v>
      </c>
      <c r="F64" s="40">
        <v>1</v>
      </c>
      <c r="G64" s="42">
        <f t="shared" si="13"/>
        <v>142800</v>
      </c>
      <c r="H64" s="40">
        <v>0.08</v>
      </c>
      <c r="I64" s="40"/>
      <c r="J64" s="42" t="str">
        <f t="shared" si="14"/>
        <v/>
      </c>
      <c r="K64" s="40"/>
      <c r="L64" s="40"/>
      <c r="M64" s="43" t="str">
        <f t="shared" si="15"/>
        <v/>
      </c>
      <c r="N64" s="38" t="str">
        <f t="shared" si="25"/>
        <v/>
      </c>
      <c r="O64" s="44" t="str">
        <f t="shared" si="16"/>
        <v/>
      </c>
      <c r="P64" s="38" t="str">
        <f t="shared" si="17"/>
        <v/>
      </c>
      <c r="Q64" s="45" t="str">
        <f t="shared" si="18"/>
        <v/>
      </c>
      <c r="R64" s="34">
        <f>IF(B64="","",SUMIFS('Registro de Ingresos'!$C:$C,'Registro de Ingresos'!$B:$B,B64)-SUMIFS('Registro de Egresos'!$C:$C,'Registro de Egresos'!$B:$B,B64))</f>
        <v>0</v>
      </c>
      <c r="S64" s="46" t="str">
        <f t="shared" si="19"/>
        <v/>
      </c>
      <c r="T64" s="38" t="str">
        <f t="shared" si="20"/>
        <v/>
      </c>
      <c r="U64" s="47" t="str">
        <f t="shared" si="21"/>
        <v/>
      </c>
      <c r="V64" s="38" t="str">
        <f t="shared" si="22"/>
        <v/>
      </c>
      <c r="W64" s="38" t="str">
        <f t="shared" si="23"/>
        <v/>
      </c>
      <c r="X64" s="40"/>
      <c r="Y64" s="48"/>
      <c r="Z64" s="5" t="str">
        <f t="shared" si="24"/>
        <v/>
      </c>
    </row>
    <row r="65" spans="1:26" ht="15" customHeight="1" x14ac:dyDescent="0.25">
      <c r="A65" s="38">
        <v>54</v>
      </c>
      <c r="B65" s="39" t="s">
        <v>125</v>
      </c>
      <c r="C65" s="40" t="s">
        <v>24</v>
      </c>
      <c r="D65" s="40"/>
      <c r="E65" s="41">
        <v>38080</v>
      </c>
      <c r="F65" s="40">
        <v>1</v>
      </c>
      <c r="G65" s="42">
        <f t="shared" si="13"/>
        <v>38080</v>
      </c>
      <c r="H65" s="40">
        <v>0.08</v>
      </c>
      <c r="I65" s="40"/>
      <c r="J65" s="42" t="str">
        <f t="shared" si="14"/>
        <v/>
      </c>
      <c r="K65" s="40"/>
      <c r="L65" s="40"/>
      <c r="M65" s="43" t="str">
        <f t="shared" si="15"/>
        <v/>
      </c>
      <c r="N65" s="38" t="str">
        <f t="shared" si="25"/>
        <v/>
      </c>
      <c r="O65" s="44" t="str">
        <f t="shared" si="16"/>
        <v/>
      </c>
      <c r="P65" s="38" t="str">
        <f t="shared" si="17"/>
        <v/>
      </c>
      <c r="Q65" s="45" t="str">
        <f t="shared" si="18"/>
        <v/>
      </c>
      <c r="R65" s="34">
        <f>IF(B65="","",SUMIFS('Registro de Ingresos'!$C:$C,'Registro de Ingresos'!$B:$B,B65)-SUMIFS('Registro de Egresos'!$C:$C,'Registro de Egresos'!$B:$B,B65))</f>
        <v>0</v>
      </c>
      <c r="S65" s="46" t="str">
        <f t="shared" si="19"/>
        <v/>
      </c>
      <c r="T65" s="38" t="str">
        <f t="shared" si="20"/>
        <v/>
      </c>
      <c r="U65" s="47" t="str">
        <f t="shared" si="21"/>
        <v/>
      </c>
      <c r="V65" s="38" t="str">
        <f t="shared" si="22"/>
        <v/>
      </c>
      <c r="W65" s="38" t="str">
        <f t="shared" si="23"/>
        <v/>
      </c>
      <c r="X65" s="40"/>
      <c r="Y65" s="48"/>
      <c r="Z65" s="5" t="str">
        <f t="shared" si="24"/>
        <v/>
      </c>
    </row>
    <row r="66" spans="1:26" ht="24" customHeight="1" x14ac:dyDescent="0.25">
      <c r="A66" s="38">
        <v>55</v>
      </c>
      <c r="B66" s="39" t="s">
        <v>126</v>
      </c>
      <c r="C66" s="40" t="s">
        <v>27</v>
      </c>
      <c r="D66" s="40"/>
      <c r="E66" s="41">
        <v>4749.8999999999996</v>
      </c>
      <c r="F66" s="40">
        <v>1</v>
      </c>
      <c r="G66" s="42">
        <f t="shared" si="13"/>
        <v>4749.8999999999996</v>
      </c>
      <c r="H66" s="40">
        <v>8.58</v>
      </c>
      <c r="I66" s="40"/>
      <c r="J66" s="42" t="str">
        <f t="shared" si="14"/>
        <v/>
      </c>
      <c r="K66" s="40"/>
      <c r="L66" s="40"/>
      <c r="M66" s="43" t="str">
        <f t="shared" si="15"/>
        <v/>
      </c>
      <c r="N66" s="38" t="str">
        <f t="shared" si="25"/>
        <v/>
      </c>
      <c r="O66" s="44" t="str">
        <f t="shared" si="16"/>
        <v/>
      </c>
      <c r="P66" s="38" t="str">
        <f t="shared" si="17"/>
        <v/>
      </c>
      <c r="Q66" s="45" t="str">
        <f t="shared" si="18"/>
        <v/>
      </c>
      <c r="R66" s="34">
        <f>IF(B66="","",SUMIFS('Registro de Ingresos'!$C:$C,'Registro de Ingresos'!$B:$B,B66)-SUMIFS('Registro de Egresos'!$C:$C,'Registro de Egresos'!$B:$B,B66))</f>
        <v>0</v>
      </c>
      <c r="S66" s="46" t="str">
        <f t="shared" si="19"/>
        <v/>
      </c>
      <c r="T66" s="38" t="str">
        <f t="shared" si="20"/>
        <v/>
      </c>
      <c r="U66" s="47" t="str">
        <f t="shared" si="21"/>
        <v/>
      </c>
      <c r="V66" s="38" t="str">
        <f t="shared" si="22"/>
        <v/>
      </c>
      <c r="W66" s="38" t="str">
        <f t="shared" si="23"/>
        <v/>
      </c>
      <c r="X66" s="40"/>
      <c r="Y66" s="48"/>
      <c r="Z66" s="5" t="str">
        <f t="shared" si="24"/>
        <v/>
      </c>
    </row>
    <row r="67" spans="1:26" ht="15" customHeight="1" x14ac:dyDescent="0.25">
      <c r="A67" s="38">
        <v>56</v>
      </c>
      <c r="B67" s="39" t="s">
        <v>127</v>
      </c>
      <c r="C67" s="40" t="s">
        <v>24</v>
      </c>
      <c r="D67" s="40"/>
      <c r="E67" s="41">
        <v>46112.5</v>
      </c>
      <c r="F67" s="40">
        <v>1</v>
      </c>
      <c r="G67" s="42">
        <f t="shared" si="13"/>
        <v>46112.5</v>
      </c>
      <c r="H67" s="40">
        <v>0.67</v>
      </c>
      <c r="I67" s="40"/>
      <c r="J67" s="42" t="str">
        <f t="shared" si="14"/>
        <v/>
      </c>
      <c r="K67" s="40"/>
      <c r="L67" s="40"/>
      <c r="M67" s="43" t="str">
        <f t="shared" si="15"/>
        <v/>
      </c>
      <c r="N67" s="38" t="str">
        <f t="shared" si="25"/>
        <v/>
      </c>
      <c r="O67" s="44" t="str">
        <f t="shared" si="16"/>
        <v/>
      </c>
      <c r="P67" s="38" t="str">
        <f t="shared" si="17"/>
        <v/>
      </c>
      <c r="Q67" s="45" t="str">
        <f t="shared" si="18"/>
        <v/>
      </c>
      <c r="R67" s="34">
        <f>IF(B67="","",SUMIFS('Registro de Ingresos'!$C:$C,'Registro de Ingresos'!$B:$B,B67)-SUMIFS('Registro de Egresos'!$C:$C,'Registro de Egresos'!$B:$B,B67))</f>
        <v>0</v>
      </c>
      <c r="S67" s="46" t="str">
        <f t="shared" si="19"/>
        <v/>
      </c>
      <c r="T67" s="38" t="str">
        <f t="shared" si="20"/>
        <v/>
      </c>
      <c r="U67" s="47" t="str">
        <f t="shared" si="21"/>
        <v/>
      </c>
      <c r="V67" s="38" t="str">
        <f t="shared" si="22"/>
        <v/>
      </c>
      <c r="W67" s="38" t="str">
        <f t="shared" si="23"/>
        <v/>
      </c>
      <c r="X67" s="40"/>
      <c r="Y67" s="48"/>
      <c r="Z67" s="5" t="str">
        <f t="shared" si="24"/>
        <v/>
      </c>
    </row>
    <row r="68" spans="1:26" ht="15" customHeight="1" x14ac:dyDescent="0.25">
      <c r="A68" s="38">
        <v>57</v>
      </c>
      <c r="B68" s="39" t="s">
        <v>128</v>
      </c>
      <c r="C68" s="40" t="s">
        <v>24</v>
      </c>
      <c r="D68" s="40"/>
      <c r="E68" s="41">
        <v>136850</v>
      </c>
      <c r="F68" s="40">
        <v>1</v>
      </c>
      <c r="G68" s="42">
        <f t="shared" si="13"/>
        <v>136850</v>
      </c>
      <c r="H68" s="40">
        <v>0.42</v>
      </c>
      <c r="I68" s="40"/>
      <c r="J68" s="42" t="str">
        <f t="shared" si="14"/>
        <v/>
      </c>
      <c r="K68" s="40"/>
      <c r="L68" s="40"/>
      <c r="M68" s="43" t="str">
        <f t="shared" si="15"/>
        <v/>
      </c>
      <c r="N68" s="38" t="str">
        <f t="shared" si="25"/>
        <v/>
      </c>
      <c r="O68" s="44" t="str">
        <f t="shared" si="16"/>
        <v/>
      </c>
      <c r="P68" s="38" t="str">
        <f t="shared" si="17"/>
        <v/>
      </c>
      <c r="Q68" s="45" t="str">
        <f t="shared" si="18"/>
        <v/>
      </c>
      <c r="R68" s="34">
        <f>IF(B68="","",SUMIFS('Registro de Ingresos'!$C:$C,'Registro de Ingresos'!$B:$B,B68)-SUMIFS('Registro de Egresos'!$C:$C,'Registro de Egresos'!$B:$B,B68))</f>
        <v>0</v>
      </c>
      <c r="S68" s="46" t="str">
        <f t="shared" si="19"/>
        <v/>
      </c>
      <c r="T68" s="38" t="str">
        <f t="shared" si="20"/>
        <v/>
      </c>
      <c r="U68" s="47" t="str">
        <f t="shared" si="21"/>
        <v/>
      </c>
      <c r="V68" s="38" t="str">
        <f t="shared" si="22"/>
        <v/>
      </c>
      <c r="W68" s="38" t="str">
        <f t="shared" si="23"/>
        <v/>
      </c>
      <c r="X68" s="40"/>
      <c r="Y68" s="48"/>
      <c r="Z68" s="5" t="str">
        <f t="shared" si="24"/>
        <v/>
      </c>
    </row>
    <row r="69" spans="1:26" ht="15" customHeight="1" x14ac:dyDescent="0.25">
      <c r="A69" s="38">
        <v>58</v>
      </c>
      <c r="B69" s="39" t="s">
        <v>129</v>
      </c>
      <c r="C69" s="40" t="s">
        <v>24</v>
      </c>
      <c r="D69" s="40"/>
      <c r="E69" s="41">
        <v>77870.63</v>
      </c>
      <c r="F69" s="40">
        <v>1</v>
      </c>
      <c r="G69" s="42">
        <f t="shared" si="13"/>
        <v>77870.63</v>
      </c>
      <c r="H69" s="40">
        <v>0.67</v>
      </c>
      <c r="I69" s="40"/>
      <c r="J69" s="42" t="str">
        <f t="shared" si="14"/>
        <v/>
      </c>
      <c r="K69" s="40"/>
      <c r="L69" s="40"/>
      <c r="M69" s="43" t="str">
        <f t="shared" si="15"/>
        <v/>
      </c>
      <c r="N69" s="38" t="str">
        <f t="shared" si="25"/>
        <v/>
      </c>
      <c r="O69" s="44" t="str">
        <f t="shared" si="16"/>
        <v/>
      </c>
      <c r="P69" s="38" t="str">
        <f t="shared" si="17"/>
        <v/>
      </c>
      <c r="Q69" s="45" t="str">
        <f t="shared" si="18"/>
        <v/>
      </c>
      <c r="R69" s="34">
        <f>IF(B69="","",SUMIFS('Registro de Ingresos'!$C:$C,'Registro de Ingresos'!$B:$B,B69)-SUMIFS('Registro de Egresos'!$C:$C,'Registro de Egresos'!$B:$B,B69))</f>
        <v>0</v>
      </c>
      <c r="S69" s="46" t="str">
        <f t="shared" si="19"/>
        <v/>
      </c>
      <c r="T69" s="38" t="str">
        <f t="shared" si="20"/>
        <v/>
      </c>
      <c r="U69" s="47" t="str">
        <f t="shared" si="21"/>
        <v/>
      </c>
      <c r="V69" s="38" t="str">
        <f t="shared" si="22"/>
        <v/>
      </c>
      <c r="W69" s="38" t="str">
        <f t="shared" si="23"/>
        <v/>
      </c>
      <c r="X69" s="40"/>
      <c r="Y69" s="48"/>
      <c r="Z69" s="5" t="str">
        <f t="shared" si="24"/>
        <v/>
      </c>
    </row>
    <row r="70" spans="1:26" ht="15" customHeight="1" x14ac:dyDescent="0.25">
      <c r="A70" s="38">
        <v>59</v>
      </c>
      <c r="B70" s="39" t="s">
        <v>130</v>
      </c>
      <c r="C70" s="40" t="s">
        <v>24</v>
      </c>
      <c r="D70" s="40"/>
      <c r="E70" s="41">
        <v>44625</v>
      </c>
      <c r="F70" s="40">
        <v>1</v>
      </c>
      <c r="G70" s="42">
        <f t="shared" si="13"/>
        <v>44625</v>
      </c>
      <c r="H70" s="40">
        <v>0.08</v>
      </c>
      <c r="I70" s="40"/>
      <c r="J70" s="42" t="str">
        <f t="shared" si="14"/>
        <v/>
      </c>
      <c r="K70" s="40"/>
      <c r="L70" s="40"/>
      <c r="M70" s="43" t="str">
        <f t="shared" si="15"/>
        <v/>
      </c>
      <c r="N70" s="38" t="str">
        <f t="shared" si="25"/>
        <v/>
      </c>
      <c r="O70" s="44" t="str">
        <f t="shared" si="16"/>
        <v/>
      </c>
      <c r="P70" s="38" t="str">
        <f t="shared" si="17"/>
        <v/>
      </c>
      <c r="Q70" s="45" t="str">
        <f t="shared" si="18"/>
        <v/>
      </c>
      <c r="R70" s="34">
        <f>IF(B70="","",SUMIFS('Registro de Ingresos'!$C:$C,'Registro de Ingresos'!$B:$B,B70)-SUMIFS('Registro de Egresos'!$C:$C,'Registro de Egresos'!$B:$B,B70))</f>
        <v>0</v>
      </c>
      <c r="S70" s="46" t="str">
        <f t="shared" si="19"/>
        <v/>
      </c>
      <c r="T70" s="38" t="str">
        <f t="shared" si="20"/>
        <v/>
      </c>
      <c r="U70" s="47" t="str">
        <f t="shared" si="21"/>
        <v/>
      </c>
      <c r="V70" s="38" t="str">
        <f t="shared" si="22"/>
        <v/>
      </c>
      <c r="W70" s="38" t="str">
        <f t="shared" si="23"/>
        <v/>
      </c>
      <c r="X70" s="40"/>
      <c r="Y70" s="48"/>
      <c r="Z70" s="5" t="str">
        <f t="shared" si="24"/>
        <v/>
      </c>
    </row>
    <row r="71" spans="1:26" ht="15" customHeight="1" x14ac:dyDescent="0.25">
      <c r="A71" s="38">
        <v>60</v>
      </c>
      <c r="B71" s="39" t="s">
        <v>131</v>
      </c>
      <c r="C71" s="40" t="s">
        <v>24</v>
      </c>
      <c r="D71" s="40"/>
      <c r="E71" s="41">
        <v>56644</v>
      </c>
      <c r="F71" s="40">
        <v>1</v>
      </c>
      <c r="G71" s="42">
        <f t="shared" si="13"/>
        <v>56644</v>
      </c>
      <c r="H71" s="40">
        <v>0.17</v>
      </c>
      <c r="I71" s="40"/>
      <c r="J71" s="42" t="str">
        <f t="shared" si="14"/>
        <v/>
      </c>
      <c r="K71" s="40"/>
      <c r="L71" s="40"/>
      <c r="M71" s="43" t="str">
        <f t="shared" si="15"/>
        <v/>
      </c>
      <c r="N71" s="38" t="str">
        <f t="shared" si="25"/>
        <v/>
      </c>
      <c r="O71" s="44" t="str">
        <f t="shared" si="16"/>
        <v/>
      </c>
      <c r="P71" s="38" t="str">
        <f t="shared" si="17"/>
        <v/>
      </c>
      <c r="Q71" s="45" t="str">
        <f t="shared" si="18"/>
        <v/>
      </c>
      <c r="R71" s="34">
        <f>IF(B71="","",SUMIFS('Registro de Ingresos'!$C:$C,'Registro de Ingresos'!$B:$B,B71)-SUMIFS('Registro de Egresos'!$C:$C,'Registro de Egresos'!$B:$B,B71))</f>
        <v>0</v>
      </c>
      <c r="S71" s="46" t="str">
        <f t="shared" si="19"/>
        <v/>
      </c>
      <c r="T71" s="38" t="str">
        <f t="shared" si="20"/>
        <v/>
      </c>
      <c r="U71" s="47" t="str">
        <f t="shared" si="21"/>
        <v/>
      </c>
      <c r="V71" s="38" t="str">
        <f t="shared" si="22"/>
        <v/>
      </c>
      <c r="W71" s="38" t="str">
        <f t="shared" si="23"/>
        <v/>
      </c>
      <c r="X71" s="40"/>
      <c r="Y71" s="48"/>
      <c r="Z71" s="5" t="str">
        <f t="shared" si="24"/>
        <v/>
      </c>
    </row>
    <row r="72" spans="1:26" ht="24" customHeight="1" x14ac:dyDescent="0.25">
      <c r="A72" s="38">
        <v>61</v>
      </c>
      <c r="B72" s="39" t="s">
        <v>132</v>
      </c>
      <c r="C72" s="40" t="s">
        <v>24</v>
      </c>
      <c r="D72" s="40"/>
      <c r="E72" s="41">
        <v>26715.5</v>
      </c>
      <c r="F72" s="40">
        <v>1</v>
      </c>
      <c r="G72" s="42">
        <f t="shared" si="13"/>
        <v>26715.5</v>
      </c>
      <c r="H72" s="40">
        <v>0.08</v>
      </c>
      <c r="I72" s="40"/>
      <c r="J72" s="42" t="str">
        <f t="shared" si="14"/>
        <v/>
      </c>
      <c r="K72" s="40"/>
      <c r="L72" s="40"/>
      <c r="M72" s="43" t="str">
        <f t="shared" si="15"/>
        <v/>
      </c>
      <c r="N72" s="38" t="str">
        <f t="shared" si="25"/>
        <v/>
      </c>
      <c r="O72" s="44" t="str">
        <f t="shared" si="16"/>
        <v/>
      </c>
      <c r="P72" s="38" t="str">
        <f t="shared" si="17"/>
        <v/>
      </c>
      <c r="Q72" s="45" t="str">
        <f t="shared" si="18"/>
        <v/>
      </c>
      <c r="R72" s="34">
        <f>IF(B72="","",SUMIFS('Registro de Ingresos'!$C:$C,'Registro de Ingresos'!$B:$B,B72)-SUMIFS('Registro de Egresos'!$C:$C,'Registro de Egresos'!$B:$B,B72))</f>
        <v>0</v>
      </c>
      <c r="S72" s="46" t="str">
        <f t="shared" si="19"/>
        <v/>
      </c>
      <c r="T72" s="38" t="str">
        <f t="shared" si="20"/>
        <v/>
      </c>
      <c r="U72" s="47" t="str">
        <f t="shared" si="21"/>
        <v/>
      </c>
      <c r="V72" s="38" t="str">
        <f t="shared" si="22"/>
        <v/>
      </c>
      <c r="W72" s="38" t="str">
        <f t="shared" si="23"/>
        <v/>
      </c>
      <c r="X72" s="40"/>
      <c r="Y72" s="48"/>
      <c r="Z72" s="5" t="str">
        <f t="shared" si="24"/>
        <v/>
      </c>
    </row>
    <row r="73" spans="1:26" ht="15" customHeight="1" x14ac:dyDescent="0.25">
      <c r="A73" s="38">
        <v>62</v>
      </c>
      <c r="B73" s="39" t="s">
        <v>133</v>
      </c>
      <c r="C73" s="40" t="s">
        <v>24</v>
      </c>
      <c r="D73" s="40"/>
      <c r="E73" s="41">
        <v>11894.05</v>
      </c>
      <c r="F73" s="40">
        <v>1</v>
      </c>
      <c r="G73" s="42">
        <f t="shared" si="13"/>
        <v>11894.05</v>
      </c>
      <c r="H73" s="40">
        <v>0.67</v>
      </c>
      <c r="I73" s="40"/>
      <c r="J73" s="42" t="str">
        <f t="shared" si="14"/>
        <v/>
      </c>
      <c r="K73" s="40"/>
      <c r="L73" s="40"/>
      <c r="M73" s="43" t="str">
        <f t="shared" si="15"/>
        <v/>
      </c>
      <c r="N73" s="38" t="str">
        <f t="shared" si="25"/>
        <v/>
      </c>
      <c r="O73" s="44" t="str">
        <f t="shared" si="16"/>
        <v/>
      </c>
      <c r="P73" s="38" t="str">
        <f t="shared" si="17"/>
        <v/>
      </c>
      <c r="Q73" s="45" t="str">
        <f t="shared" si="18"/>
        <v/>
      </c>
      <c r="R73" s="34">
        <f>IF(B73="","",SUMIFS('Registro de Ingresos'!$C:$C,'Registro de Ingresos'!$B:$B,B73)-SUMIFS('Registro de Egresos'!$C:$C,'Registro de Egresos'!$B:$B,B73))</f>
        <v>0</v>
      </c>
      <c r="S73" s="46" t="str">
        <f t="shared" si="19"/>
        <v/>
      </c>
      <c r="T73" s="38" t="str">
        <f t="shared" si="20"/>
        <v/>
      </c>
      <c r="U73" s="47" t="str">
        <f t="shared" si="21"/>
        <v/>
      </c>
      <c r="V73" s="38" t="str">
        <f t="shared" si="22"/>
        <v/>
      </c>
      <c r="W73" s="38" t="str">
        <f t="shared" si="23"/>
        <v/>
      </c>
      <c r="X73" s="40"/>
      <c r="Y73" s="48"/>
      <c r="Z73" s="5" t="str">
        <f t="shared" si="24"/>
        <v/>
      </c>
    </row>
    <row r="74" spans="1:26" ht="15" customHeight="1" x14ac:dyDescent="0.25">
      <c r="A74" s="38">
        <v>63</v>
      </c>
      <c r="B74" s="39" t="s">
        <v>134</v>
      </c>
      <c r="C74" s="40" t="s">
        <v>24</v>
      </c>
      <c r="D74" s="40"/>
      <c r="E74" s="41">
        <v>43435</v>
      </c>
      <c r="F74" s="40">
        <v>1</v>
      </c>
      <c r="G74" s="42">
        <f t="shared" si="13"/>
        <v>43435</v>
      </c>
      <c r="H74" s="40">
        <v>0.08</v>
      </c>
      <c r="I74" s="40"/>
      <c r="J74" s="42" t="str">
        <f t="shared" si="14"/>
        <v/>
      </c>
      <c r="K74" s="40"/>
      <c r="L74" s="40"/>
      <c r="M74" s="43" t="str">
        <f t="shared" si="15"/>
        <v/>
      </c>
      <c r="N74" s="38" t="str">
        <f t="shared" si="25"/>
        <v/>
      </c>
      <c r="O74" s="44" t="str">
        <f t="shared" si="16"/>
        <v/>
      </c>
      <c r="P74" s="38" t="str">
        <f t="shared" si="17"/>
        <v/>
      </c>
      <c r="Q74" s="45" t="str">
        <f t="shared" si="18"/>
        <v/>
      </c>
      <c r="R74" s="34">
        <f>IF(B74="","",SUMIFS('Registro de Ingresos'!$C:$C,'Registro de Ingresos'!$B:$B,B74)-SUMIFS('Registro de Egresos'!$C:$C,'Registro de Egresos'!$B:$B,B74))</f>
        <v>0</v>
      </c>
      <c r="S74" s="46" t="str">
        <f t="shared" si="19"/>
        <v/>
      </c>
      <c r="T74" s="38" t="str">
        <f t="shared" si="20"/>
        <v/>
      </c>
      <c r="U74" s="47" t="str">
        <f t="shared" si="21"/>
        <v/>
      </c>
      <c r="V74" s="38" t="str">
        <f t="shared" si="22"/>
        <v/>
      </c>
      <c r="W74" s="38" t="str">
        <f t="shared" si="23"/>
        <v/>
      </c>
      <c r="X74" s="40"/>
      <c r="Y74" s="48"/>
      <c r="Z74" s="5" t="str">
        <f t="shared" si="24"/>
        <v/>
      </c>
    </row>
    <row r="75" spans="1:26" ht="15" customHeight="1" x14ac:dyDescent="0.25">
      <c r="A75" s="38">
        <v>64</v>
      </c>
      <c r="B75" s="39" t="s">
        <v>135</v>
      </c>
      <c r="C75" s="40" t="s">
        <v>24</v>
      </c>
      <c r="D75" s="40"/>
      <c r="E75" s="41">
        <v>29155</v>
      </c>
      <c r="F75" s="40">
        <v>1</v>
      </c>
      <c r="G75" s="42">
        <f t="shared" ref="G75:G106" si="26">IF(OR(E75="",F75=""),"",E75*F75)</f>
        <v>29155</v>
      </c>
      <c r="H75" s="40">
        <v>0.25</v>
      </c>
      <c r="I75" s="40"/>
      <c r="J75" s="42" t="str">
        <f t="shared" ref="J75:J106" si="27">IF(OR(G75="",I75=""),"",G75/I75)</f>
        <v/>
      </c>
      <c r="K75" s="40"/>
      <c r="L75" s="40"/>
      <c r="M75" s="43" t="str">
        <f t="shared" ref="M75:M106" si="28">IF(OR(E75="",H75="",K75="",L75=""),"",$B$4*(IF($O$10=$N$10,0,(E75-$N$10)/($O$10-$N$10)))+$B$5*(IF($Q$10=$P$10,0,(H75-$P$10)/($Q$10-$P$10)))+$B$6*((K75-1)/4)+$B$7*(IF($S$10=$R$10,0,(L75-$R$10)/($S$10-$R$10))))</f>
        <v/>
      </c>
      <c r="N75" s="38" t="str">
        <f t="shared" si="25"/>
        <v/>
      </c>
      <c r="O75" s="44" t="str">
        <f t="shared" ref="O75:O106" si="29">IF(N75="","",SUMIFS($M$12:$M$79,$N$12:$N$79,"&lt;="&amp;N75)/SUM($M$12:$M$79))</f>
        <v/>
      </c>
      <c r="P75" s="38" t="str">
        <f t="shared" si="17"/>
        <v/>
      </c>
      <c r="Q75" s="45" t="str">
        <f t="shared" ref="Q75:Q106" si="30">IF(P75="","",IF(P75="A",0.5,IF(P75="B",0.3,IF(P75="C",0.15,""))))</f>
        <v/>
      </c>
      <c r="R75" s="34">
        <f>IF(B75="","",SUMIFS('Registro de Ingresos'!$C:$C,'Registro de Ingresos'!$B:$B,B75)-SUMIFS('Registro de Egresos'!$C:$C,'Registro de Egresos'!$B:$B,B75))</f>
        <v>0</v>
      </c>
      <c r="S75" s="46" t="str">
        <f t="shared" si="19"/>
        <v/>
      </c>
      <c r="T75" s="38" t="str">
        <f t="shared" ref="T75:T106" si="31">IF(OR(R75="",S75=""),"",IF(R75&lt;=S75,"REPONER AHORA","OK"))</f>
        <v/>
      </c>
      <c r="U75" s="47" t="str">
        <f t="shared" si="21"/>
        <v/>
      </c>
      <c r="V75" s="38" t="str">
        <f t="shared" ref="V75:V106" si="32">IF(U75="","",DAY(U75))</f>
        <v/>
      </c>
      <c r="W75" s="38" t="str">
        <f t="shared" ref="W75:W106" si="33">IF(V75="","",IF(V75&gt;20,"FUERA DE VENTANA","DENTRO DE VENTANA"))</f>
        <v/>
      </c>
      <c r="X75" s="40"/>
      <c r="Y75" s="48"/>
      <c r="Z75" s="5" t="str">
        <f t="shared" si="24"/>
        <v/>
      </c>
    </row>
    <row r="76" spans="1:26" ht="15" customHeight="1" x14ac:dyDescent="0.25">
      <c r="A76" s="38">
        <v>65</v>
      </c>
      <c r="B76" s="39" t="s">
        <v>136</v>
      </c>
      <c r="C76" s="40" t="s">
        <v>24</v>
      </c>
      <c r="D76" s="40"/>
      <c r="E76" s="41">
        <v>33082</v>
      </c>
      <c r="F76" s="40">
        <v>1</v>
      </c>
      <c r="G76" s="42">
        <f t="shared" si="26"/>
        <v>33082</v>
      </c>
      <c r="H76" s="40">
        <v>0.17</v>
      </c>
      <c r="I76" s="40"/>
      <c r="J76" s="42" t="str">
        <f t="shared" si="27"/>
        <v/>
      </c>
      <c r="K76" s="40"/>
      <c r="L76" s="40"/>
      <c r="M76" s="43" t="str">
        <f t="shared" si="28"/>
        <v/>
      </c>
      <c r="N76" s="38" t="str">
        <f t="shared" si="25"/>
        <v/>
      </c>
      <c r="O76" s="44" t="str">
        <f t="shared" si="29"/>
        <v/>
      </c>
      <c r="P76" s="38" t="str">
        <f t="shared" si="17"/>
        <v/>
      </c>
      <c r="Q76" s="45" t="str">
        <f t="shared" si="30"/>
        <v/>
      </c>
      <c r="R76" s="34">
        <f>IF(B76="","",SUMIFS('Registro de Ingresos'!$C:$C,'Registro de Ingresos'!$B:$B,B76)-SUMIFS('Registro de Egresos'!$C:$C,'Registro de Egresos'!$B:$B,B76))</f>
        <v>0</v>
      </c>
      <c r="S76" s="46" t="str">
        <f t="shared" si="19"/>
        <v/>
      </c>
      <c r="T76" s="38" t="str">
        <f t="shared" si="31"/>
        <v/>
      </c>
      <c r="U76" s="47" t="str">
        <f t="shared" si="21"/>
        <v/>
      </c>
      <c r="V76" s="38" t="str">
        <f t="shared" si="32"/>
        <v/>
      </c>
      <c r="W76" s="38" t="str">
        <f t="shared" si="33"/>
        <v/>
      </c>
      <c r="X76" s="40"/>
      <c r="Y76" s="48"/>
      <c r="Z76" s="5" t="str">
        <f t="shared" si="24"/>
        <v/>
      </c>
    </row>
    <row r="77" spans="1:26" ht="15" customHeight="1" x14ac:dyDescent="0.25">
      <c r="A77" s="38">
        <v>66</v>
      </c>
      <c r="B77" s="39" t="s">
        <v>137</v>
      </c>
      <c r="C77" s="40" t="s">
        <v>24</v>
      </c>
      <c r="D77" s="40"/>
      <c r="E77" s="41">
        <v>107100</v>
      </c>
      <c r="F77" s="40">
        <v>1</v>
      </c>
      <c r="G77" s="42">
        <f t="shared" si="26"/>
        <v>107100</v>
      </c>
      <c r="H77" s="40">
        <v>0.17</v>
      </c>
      <c r="I77" s="40"/>
      <c r="J77" s="42" t="str">
        <f t="shared" si="27"/>
        <v/>
      </c>
      <c r="K77" s="40"/>
      <c r="L77" s="40"/>
      <c r="M77" s="43" t="str">
        <f t="shared" si="28"/>
        <v/>
      </c>
      <c r="N77" s="38" t="str">
        <f t="shared" si="25"/>
        <v/>
      </c>
      <c r="O77" s="44" t="str">
        <f t="shared" si="29"/>
        <v/>
      </c>
      <c r="P77" s="38" t="str">
        <f t="shared" si="17"/>
        <v/>
      </c>
      <c r="Q77" s="45" t="str">
        <f t="shared" si="30"/>
        <v/>
      </c>
      <c r="R77" s="34">
        <f>IF(B77="","",SUMIFS('Registro de Ingresos'!$C:$C,'Registro de Ingresos'!$B:$B,B77)-SUMIFS('Registro de Egresos'!$C:$C,'Registro de Egresos'!$B:$B,B77))</f>
        <v>0</v>
      </c>
      <c r="S77" s="46" t="str">
        <f t="shared" si="19"/>
        <v/>
      </c>
      <c r="T77" s="38" t="str">
        <f t="shared" si="31"/>
        <v/>
      </c>
      <c r="U77" s="47" t="str">
        <f t="shared" si="21"/>
        <v/>
      </c>
      <c r="V77" s="38" t="str">
        <f t="shared" si="32"/>
        <v/>
      </c>
      <c r="W77" s="38" t="str">
        <f t="shared" si="33"/>
        <v/>
      </c>
      <c r="X77" s="40"/>
      <c r="Y77" s="48"/>
      <c r="Z77" s="5" t="str">
        <f t="shared" si="24"/>
        <v/>
      </c>
    </row>
    <row r="78" spans="1:26" ht="15" customHeight="1" x14ac:dyDescent="0.25">
      <c r="A78" s="38">
        <v>67</v>
      </c>
      <c r="B78" s="39" t="s">
        <v>138</v>
      </c>
      <c r="C78" s="40" t="s">
        <v>24</v>
      </c>
      <c r="D78" s="40" t="s">
        <v>34</v>
      </c>
      <c r="E78" s="41">
        <v>2590</v>
      </c>
      <c r="F78" s="40">
        <v>2</v>
      </c>
      <c r="G78" s="42">
        <f t="shared" si="26"/>
        <v>5180</v>
      </c>
      <c r="H78" s="40">
        <v>15</v>
      </c>
      <c r="I78" s="40">
        <v>50</v>
      </c>
      <c r="J78" s="42">
        <f t="shared" si="27"/>
        <v>103.6</v>
      </c>
      <c r="K78" s="40">
        <v>2</v>
      </c>
      <c r="L78" s="40">
        <v>1</v>
      </c>
      <c r="M78" s="43">
        <f t="shared" si="28"/>
        <v>0.37737732783275468</v>
      </c>
      <c r="N78" s="38">
        <f t="shared" si="25"/>
        <v>4</v>
      </c>
      <c r="O78" s="44">
        <f t="shared" si="29"/>
        <v>0.63459694957202906</v>
      </c>
      <c r="P78" s="38" t="str">
        <f t="shared" si="17"/>
        <v>B</v>
      </c>
      <c r="Q78" s="45">
        <f t="shared" si="30"/>
        <v>0.3</v>
      </c>
      <c r="R78" s="34">
        <f>IF(B78="","",SUMIFS('Registro de Ingresos'!$C:$C,'Registro de Ingresos'!$B:$B,B78)-SUMIFS('Registro de Egresos'!$C:$C,'Registro de Egresos'!$B:$B,B78))</f>
        <v>0</v>
      </c>
      <c r="S78" s="46">
        <f t="shared" si="19"/>
        <v>2</v>
      </c>
      <c r="T78" s="38" t="str">
        <f t="shared" si="31"/>
        <v>REPONER AHORA</v>
      </c>
      <c r="U78" s="47">
        <f t="shared" ca="1" si="21"/>
        <v>46265</v>
      </c>
      <c r="V78" s="38">
        <f t="shared" ca="1" si="32"/>
        <v>31</v>
      </c>
      <c r="W78" s="38" t="str">
        <f t="shared" ca="1" si="33"/>
        <v>FUERA DE VENTANA</v>
      </c>
      <c r="X78" s="40"/>
      <c r="Y78" s="48"/>
      <c r="Z78" s="5">
        <f t="shared" si="24"/>
        <v>0.37737810783275466</v>
      </c>
    </row>
    <row r="79" spans="1:26" ht="15" customHeight="1" x14ac:dyDescent="0.25">
      <c r="A79" s="38">
        <v>68</v>
      </c>
      <c r="B79" s="39" t="s">
        <v>139</v>
      </c>
      <c r="C79" s="40" t="s">
        <v>24</v>
      </c>
      <c r="D79" s="40" t="s">
        <v>36</v>
      </c>
      <c r="E79" s="41">
        <v>35000</v>
      </c>
      <c r="F79" s="40">
        <v>1</v>
      </c>
      <c r="G79" s="42">
        <f t="shared" si="26"/>
        <v>35000</v>
      </c>
      <c r="H79" s="40">
        <v>2</v>
      </c>
      <c r="I79" s="40">
        <v>50</v>
      </c>
      <c r="J79" s="42">
        <f t="shared" si="27"/>
        <v>700</v>
      </c>
      <c r="K79" s="40">
        <v>2</v>
      </c>
      <c r="L79" s="40">
        <v>7</v>
      </c>
      <c r="M79" s="43">
        <f t="shared" si="28"/>
        <v>0.2337711901139217</v>
      </c>
      <c r="N79" s="38">
        <f t="shared" si="25"/>
        <v>5</v>
      </c>
      <c r="O79" s="44">
        <f t="shared" si="29"/>
        <v>0.68981189561744638</v>
      </c>
      <c r="P79" s="38" t="str">
        <f t="shared" si="17"/>
        <v>B</v>
      </c>
      <c r="Q79" s="45">
        <f t="shared" si="30"/>
        <v>0.3</v>
      </c>
      <c r="R79" s="34">
        <f>IF(B79="","",SUMIFS('Registro de Ingresos'!$C:$C,'Registro de Ingresos'!$B:$B,B79)-SUMIFS('Registro de Egresos'!$C:$C,'Registro de Egresos'!$B:$B,B79))</f>
        <v>0</v>
      </c>
      <c r="S79" s="46">
        <f t="shared" si="19"/>
        <v>1</v>
      </c>
      <c r="T79" s="38" t="str">
        <f t="shared" si="31"/>
        <v>REPONER AHORA</v>
      </c>
      <c r="U79" s="47">
        <f t="shared" ca="1" si="21"/>
        <v>46265</v>
      </c>
      <c r="V79" s="38">
        <f t="shared" ca="1" si="32"/>
        <v>31</v>
      </c>
      <c r="W79" s="38" t="str">
        <f t="shared" ca="1" si="33"/>
        <v>FUERA DE VENTANA</v>
      </c>
      <c r="X79" s="40"/>
      <c r="Y79" s="48"/>
      <c r="Z79" s="5">
        <f t="shared" si="24"/>
        <v>0.2337719801139217</v>
      </c>
    </row>
  </sheetData>
  <mergeCells count="1">
    <mergeCell ref="A1:X1"/>
  </mergeCells>
  <conditionalFormatting sqref="B8">
    <cfRule type="cellIs" dxfId="12" priority="2" operator="notEqual">
      <formula>1</formula>
    </cfRule>
  </conditionalFormatting>
  <conditionalFormatting sqref="P11:P79">
    <cfRule type="cellIs" dxfId="11" priority="3" operator="equal">
      <formula>"A"</formula>
    </cfRule>
    <cfRule type="cellIs" dxfId="10" priority="4" operator="equal">
      <formula>"C"</formula>
    </cfRule>
  </conditionalFormatting>
  <conditionalFormatting sqref="T11:T79">
    <cfRule type="cellIs" dxfId="9" priority="5" operator="equal">
      <formula>"REPONER AHORA"</formula>
    </cfRule>
    <cfRule type="cellIs" dxfId="8" priority="6" operator="equal">
      <formula>"OK"</formula>
    </cfRule>
  </conditionalFormatting>
  <conditionalFormatting sqref="W11:W79">
    <cfRule type="cellIs" dxfId="7" priority="7" operator="equal">
      <formula>"FUERA DE VENTANA"</formula>
    </cfRule>
    <cfRule type="cellIs" dxfId="6" priority="8" operator="equal">
      <formula>"DENTRO DE VENTANA"</formula>
    </cfRule>
  </conditionalFormatting>
  <pageMargins left="0.75" right="0.75" top="1" bottom="1" header="0.511811023622047" footer="0.511811023622047"/>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72"/>
  <sheetViews>
    <sheetView showGridLines="0" zoomScale="90" zoomScaleNormal="90" workbookViewId="0">
      <pane ySplit="4" topLeftCell="A5" activePane="bottomLeft" state="frozen"/>
      <selection pane="bottomLeft"/>
    </sheetView>
  </sheetViews>
  <sheetFormatPr baseColWidth="10" defaultColWidth="8.7109375" defaultRowHeight="15" x14ac:dyDescent="0.25"/>
  <cols>
    <col min="1" max="1" width="6" style="5" customWidth="1"/>
    <col min="2" max="2" width="38" style="5" customWidth="1"/>
    <col min="3" max="3" width="24" style="5" customWidth="1"/>
    <col min="4" max="4" width="16" style="5" customWidth="1"/>
    <col min="5" max="5" width="10" style="5" customWidth="1"/>
    <col min="6" max="7" width="12" style="5" customWidth="1"/>
    <col min="8" max="9" width="20" style="5" customWidth="1"/>
  </cols>
  <sheetData>
    <row r="1" spans="1:9" ht="15.75" customHeight="1" x14ac:dyDescent="0.25">
      <c r="A1" s="3" t="s">
        <v>140</v>
      </c>
      <c r="B1" s="3"/>
      <c r="C1" s="3"/>
      <c r="D1" s="3"/>
      <c r="E1" s="3"/>
      <c r="F1" s="3"/>
      <c r="G1" s="3"/>
      <c r="H1" s="3"/>
      <c r="I1" s="3"/>
    </row>
    <row r="2" spans="1:9" ht="15" customHeight="1" x14ac:dyDescent="0.25">
      <c r="A2" s="2" t="s">
        <v>141</v>
      </c>
      <c r="B2" s="2"/>
      <c r="C2" s="2"/>
      <c r="D2" s="2"/>
      <c r="E2" s="2"/>
      <c r="F2" s="2"/>
      <c r="G2" s="2"/>
      <c r="H2" s="2"/>
      <c r="I2" s="2"/>
    </row>
    <row r="4" spans="1:9" ht="30" customHeight="1" x14ac:dyDescent="0.25">
      <c r="A4" s="49" t="s">
        <v>56</v>
      </c>
      <c r="B4" s="49" t="s">
        <v>57</v>
      </c>
      <c r="C4" s="49" t="s">
        <v>21</v>
      </c>
      <c r="D4" s="49" t="s">
        <v>72</v>
      </c>
      <c r="E4" s="49" t="s">
        <v>52</v>
      </c>
      <c r="F4" s="49" t="s">
        <v>142</v>
      </c>
      <c r="G4" s="49" t="s">
        <v>143</v>
      </c>
      <c r="H4" s="49" t="s">
        <v>144</v>
      </c>
      <c r="I4" s="49" t="s">
        <v>145</v>
      </c>
    </row>
    <row r="5" spans="1:9" ht="15" customHeight="1" x14ac:dyDescent="0.25">
      <c r="A5" s="50">
        <f>IF('Catálogo de Insumos'!$B12="","",IF('Catálogo de Insumos'!A12="","",'Catálogo de Insumos'!A12))</f>
        <v>1</v>
      </c>
      <c r="B5" s="51" t="str">
        <f>IF('Catálogo de Insumos'!$B12="","",IF('Catálogo de Insumos'!B12="","",'Catálogo de Insumos'!B12))</f>
        <v>Cut Off Wheels, A303020, 300×32×2.0mm</v>
      </c>
      <c r="C5" s="52" t="str">
        <f>IF('Catálogo de Insumos'!$B12="","",IF('Catálogo de Insumos'!C12="","",'Catálogo de Insumos'!C12))</f>
        <v>Consumible de metalografía</v>
      </c>
      <c r="D5" s="52" t="str">
        <f>IF('Catálogo de Insumos'!$B12="","",IF('Catálogo de Insumos'!Y12="","",'Catálogo de Insumos'!Y12))</f>
        <v/>
      </c>
      <c r="E5" s="53" t="str">
        <f>IF('Catálogo de Insumos'!$B12="","",IF('Catálogo de Insumos'!P12="","",'Catálogo de Insumos'!P12))</f>
        <v/>
      </c>
      <c r="F5" s="50">
        <f>IF('Catálogo de Insumos'!$B12="","",IF('Catálogo de Insumos'!R12="","",'Catálogo de Insumos'!R12))</f>
        <v>0</v>
      </c>
      <c r="G5" s="50" t="str">
        <f>IF('Catálogo de Insumos'!$B12="","",IF('Catálogo de Insumos'!S12="","",'Catálogo de Insumos'!S12))</f>
        <v/>
      </c>
      <c r="H5" s="53" t="str">
        <f>IF('Catálogo de Insumos'!$B12="","",IF('Catálogo de Insumos'!T12="","",'Catálogo de Insumos'!T12))</f>
        <v/>
      </c>
      <c r="I5" s="53" t="str">
        <f>IF('Catálogo de Insumos'!$B12="","",IF('Catálogo de Insumos'!W12="","",'Catálogo de Insumos'!W12))</f>
        <v/>
      </c>
    </row>
    <row r="6" spans="1:9" ht="15" customHeight="1" x14ac:dyDescent="0.25">
      <c r="A6" s="54">
        <f>IF('Catálogo de Insumos'!$B13="","",IF('Catálogo de Insumos'!A13="","",'Catálogo de Insumos'!A13))</f>
        <v>2</v>
      </c>
      <c r="B6" s="55" t="str">
        <f>IF('Catálogo de Insumos'!$B13="","",IF('Catálogo de Insumos'!B13="","",'Catálogo de Insumos'!B13))</f>
        <v>Cut Off Wheels, A503020, 300×32×2.0mm</v>
      </c>
      <c r="C6" s="56" t="str">
        <f>IF('Catálogo de Insumos'!$B13="","",IF('Catálogo de Insumos'!C13="","",'Catálogo de Insumos'!C13))</f>
        <v>Consumible de metalografía</v>
      </c>
      <c r="D6" s="56" t="str">
        <f>IF('Catálogo de Insumos'!$B13="","",IF('Catálogo de Insumos'!Y13="","",'Catálogo de Insumos'!Y13))</f>
        <v/>
      </c>
      <c r="E6" s="57" t="str">
        <f>IF('Catálogo de Insumos'!$B13="","",IF('Catálogo de Insumos'!P13="","",'Catálogo de Insumos'!P13))</f>
        <v/>
      </c>
      <c r="F6" s="54">
        <f>IF('Catálogo de Insumos'!$B13="","",IF('Catálogo de Insumos'!R13="","",'Catálogo de Insumos'!R13))</f>
        <v>0</v>
      </c>
      <c r="G6" s="54" t="str">
        <f>IF('Catálogo de Insumos'!$B13="","",IF('Catálogo de Insumos'!S13="","",'Catálogo de Insumos'!S13))</f>
        <v/>
      </c>
      <c r="H6" s="57" t="str">
        <f>IF('Catálogo de Insumos'!$B13="","",IF('Catálogo de Insumos'!T13="","",'Catálogo de Insumos'!T13))</f>
        <v/>
      </c>
      <c r="I6" s="57" t="str">
        <f>IF('Catálogo de Insumos'!$B13="","",IF('Catálogo de Insumos'!W13="","",'Catálogo de Insumos'!W13))</f>
        <v/>
      </c>
    </row>
    <row r="7" spans="1:9" ht="15" customHeight="1" x14ac:dyDescent="0.25">
      <c r="A7" s="50">
        <f>IF('Catálogo de Insumos'!$B14="","",IF('Catálogo de Insumos'!A14="","",'Catálogo de Insumos'!A14))</f>
        <v>3</v>
      </c>
      <c r="B7" s="51" t="str">
        <f>IF('Catálogo de Insumos'!$B14="","",IF('Catálogo de Insumos'!B14="","",'Catálogo de Insumos'!B14))</f>
        <v>Cut Off Wheels, A603020, 300×32×2.0mm</v>
      </c>
      <c r="C7" s="52" t="str">
        <f>IF('Catálogo de Insumos'!$B14="","",IF('Catálogo de Insumos'!C14="","",'Catálogo de Insumos'!C14))</f>
        <v>Consumible de metalografía</v>
      </c>
      <c r="D7" s="52" t="str">
        <f>IF('Catálogo de Insumos'!$B14="","",IF('Catálogo de Insumos'!Y14="","",'Catálogo de Insumos'!Y14))</f>
        <v/>
      </c>
      <c r="E7" s="53" t="str">
        <f>IF('Catálogo de Insumos'!$B14="","",IF('Catálogo de Insumos'!P14="","",'Catálogo de Insumos'!P14))</f>
        <v/>
      </c>
      <c r="F7" s="50">
        <f>IF('Catálogo de Insumos'!$B14="","",IF('Catálogo de Insumos'!R14="","",'Catálogo de Insumos'!R14))</f>
        <v>0</v>
      </c>
      <c r="G7" s="50" t="str">
        <f>IF('Catálogo de Insumos'!$B14="","",IF('Catálogo de Insumos'!S14="","",'Catálogo de Insumos'!S14))</f>
        <v/>
      </c>
      <c r="H7" s="53" t="str">
        <f>IF('Catálogo de Insumos'!$B14="","",IF('Catálogo de Insumos'!T14="","",'Catálogo de Insumos'!T14))</f>
        <v/>
      </c>
      <c r="I7" s="53" t="str">
        <f>IF('Catálogo de Insumos'!$B14="","",IF('Catálogo de Insumos'!W14="","",'Catálogo de Insumos'!W14))</f>
        <v/>
      </c>
    </row>
    <row r="8" spans="1:9" ht="15" customHeight="1" x14ac:dyDescent="0.25">
      <c r="A8" s="54">
        <f>IF('Catálogo de Insumos'!$B15="","",IF('Catálogo de Insumos'!A15="","",'Catálogo de Insumos'!A15))</f>
        <v>4</v>
      </c>
      <c r="B8" s="55" t="str">
        <f>IF('Catálogo de Insumos'!$B15="","",IF('Catálogo de Insumos'!B15="","",'Catálogo de Insumos'!B15))</f>
        <v>Plastic Clip, Red, X-sample</v>
      </c>
      <c r="C8" s="56" t="str">
        <f>IF('Catálogo de Insumos'!$B15="","",IF('Catálogo de Insumos'!C15="","",'Catálogo de Insumos'!C15))</f>
        <v>Consumible de metalografía</v>
      </c>
      <c r="D8" s="56" t="str">
        <f>IF('Catálogo de Insumos'!$B15="","",IF('Catálogo de Insumos'!Y15="","",'Catálogo de Insumos'!Y15))</f>
        <v/>
      </c>
      <c r="E8" s="57" t="str">
        <f>IF('Catálogo de Insumos'!$B15="","",IF('Catálogo de Insumos'!P15="","",'Catálogo de Insumos'!P15))</f>
        <v/>
      </c>
      <c r="F8" s="54">
        <f>IF('Catálogo de Insumos'!$B15="","",IF('Catálogo de Insumos'!R15="","",'Catálogo de Insumos'!R15))</f>
        <v>0</v>
      </c>
      <c r="G8" s="54" t="str">
        <f>IF('Catálogo de Insumos'!$B15="","",IF('Catálogo de Insumos'!S15="","",'Catálogo de Insumos'!S15))</f>
        <v/>
      </c>
      <c r="H8" s="57" t="str">
        <f>IF('Catálogo de Insumos'!$B15="","",IF('Catálogo de Insumos'!T15="","",'Catálogo de Insumos'!T15))</f>
        <v/>
      </c>
      <c r="I8" s="57" t="str">
        <f>IF('Catálogo de Insumos'!$B15="","",IF('Catálogo de Insumos'!W15="","",'Catálogo de Insumos'!W15))</f>
        <v/>
      </c>
    </row>
    <row r="9" spans="1:9" ht="15" customHeight="1" x14ac:dyDescent="0.25">
      <c r="A9" s="50">
        <f>IF('Catálogo de Insumos'!$B16="","",IF('Catálogo de Insumos'!A16="","",'Catálogo de Insumos'!A16))</f>
        <v>5</v>
      </c>
      <c r="B9" s="51" t="str">
        <f>IF('Catálogo de Insumos'!$B16="","",IF('Catálogo de Insumos'!B16="","",'Catálogo de Insumos'!B16))</f>
        <v>Plastic Clip, Green, X-sample</v>
      </c>
      <c r="C9" s="52" t="str">
        <f>IF('Catálogo de Insumos'!$B16="","",IF('Catálogo de Insumos'!C16="","",'Catálogo de Insumos'!C16))</f>
        <v>Consumible de metalografía</v>
      </c>
      <c r="D9" s="52" t="str">
        <f>IF('Catálogo de Insumos'!$B16="","",IF('Catálogo de Insumos'!Y16="","",'Catálogo de Insumos'!Y16))</f>
        <v/>
      </c>
      <c r="E9" s="53" t="str">
        <f>IF('Catálogo de Insumos'!$B16="","",IF('Catálogo de Insumos'!P16="","",'Catálogo de Insumos'!P16))</f>
        <v/>
      </c>
      <c r="F9" s="50">
        <f>IF('Catálogo de Insumos'!$B16="","",IF('Catálogo de Insumos'!R16="","",'Catálogo de Insumos'!R16))</f>
        <v>0</v>
      </c>
      <c r="G9" s="50" t="str">
        <f>IF('Catálogo de Insumos'!$B16="","",IF('Catálogo de Insumos'!S16="","",'Catálogo de Insumos'!S16))</f>
        <v/>
      </c>
      <c r="H9" s="53" t="str">
        <f>IF('Catálogo de Insumos'!$B16="","",IF('Catálogo de Insumos'!T16="","",'Catálogo de Insumos'!T16))</f>
        <v/>
      </c>
      <c r="I9" s="53" t="str">
        <f>IF('Catálogo de Insumos'!$B16="","",IF('Catálogo de Insumos'!W16="","",'Catálogo de Insumos'!W16))</f>
        <v/>
      </c>
    </row>
    <row r="10" spans="1:9" ht="15" customHeight="1" x14ac:dyDescent="0.25">
      <c r="A10" s="54">
        <f>IF('Catálogo de Insumos'!$B17="","",IF('Catálogo de Insumos'!A17="","",'Catálogo de Insumos'!A17))</f>
        <v>6</v>
      </c>
      <c r="B10" s="55" t="str">
        <f>IF('Catálogo de Insumos'!$B17="","",IF('Catálogo de Insumos'!B17="","",'Catálogo de Insumos'!B17))</f>
        <v>Plastic Clip, White, X-sample</v>
      </c>
      <c r="C10" s="56" t="str">
        <f>IF('Catálogo de Insumos'!$B17="","",IF('Catálogo de Insumos'!C17="","",'Catálogo de Insumos'!C17))</f>
        <v>Consumible de metalografía</v>
      </c>
      <c r="D10" s="56" t="str">
        <f>IF('Catálogo de Insumos'!$B17="","",IF('Catálogo de Insumos'!Y17="","",'Catálogo de Insumos'!Y17))</f>
        <v/>
      </c>
      <c r="E10" s="57" t="str">
        <f>IF('Catálogo de Insumos'!$B17="","",IF('Catálogo de Insumos'!P17="","",'Catálogo de Insumos'!P17))</f>
        <v/>
      </c>
      <c r="F10" s="54">
        <f>IF('Catálogo de Insumos'!$B17="","",IF('Catálogo de Insumos'!R17="","",'Catálogo de Insumos'!R17))</f>
        <v>0</v>
      </c>
      <c r="G10" s="54" t="str">
        <f>IF('Catálogo de Insumos'!$B17="","",IF('Catálogo de Insumos'!S17="","",'Catálogo de Insumos'!S17))</f>
        <v/>
      </c>
      <c r="H10" s="57" t="str">
        <f>IF('Catálogo de Insumos'!$B17="","",IF('Catálogo de Insumos'!T17="","",'Catálogo de Insumos'!T17))</f>
        <v/>
      </c>
      <c r="I10" s="57" t="str">
        <f>IF('Catálogo de Insumos'!$B17="","",IF('Catálogo de Insumos'!W17="","",'Catálogo de Insumos'!W17))</f>
        <v/>
      </c>
    </row>
    <row r="11" spans="1:9" ht="15" customHeight="1" x14ac:dyDescent="0.25">
      <c r="A11" s="50">
        <f>IF('Catálogo de Insumos'!$B18="","",IF('Catálogo de Insumos'!A18="","",'Catálogo de Insumos'!A18))</f>
        <v>7</v>
      </c>
      <c r="B11" s="51" t="str">
        <f>IF('Catálogo de Insumos'!$B18="","",IF('Catálogo de Insumos'!B18="","",'Catálogo de Insumos'!B18))</f>
        <v>Sample Holder</v>
      </c>
      <c r="C11" s="52" t="str">
        <f>IF('Catálogo de Insumos'!$B18="","",IF('Catálogo de Insumos'!C18="","",'Catálogo de Insumos'!C18))</f>
        <v>Consumible de metalografía</v>
      </c>
      <c r="D11" s="52" t="str">
        <f>IF('Catálogo de Insumos'!$B18="","",IF('Catálogo de Insumos'!Y18="","",'Catálogo de Insumos'!Y18))</f>
        <v/>
      </c>
      <c r="E11" s="53" t="str">
        <f>IF('Catálogo de Insumos'!$B18="","",IF('Catálogo de Insumos'!P18="","",'Catálogo de Insumos'!P18))</f>
        <v/>
      </c>
      <c r="F11" s="50">
        <f>IF('Catálogo de Insumos'!$B18="","",IF('Catálogo de Insumos'!R18="","",'Catálogo de Insumos'!R18))</f>
        <v>0</v>
      </c>
      <c r="G11" s="50" t="str">
        <f>IF('Catálogo de Insumos'!$B18="","",IF('Catálogo de Insumos'!S18="","",'Catálogo de Insumos'!S18))</f>
        <v/>
      </c>
      <c r="H11" s="53" t="str">
        <f>IF('Catálogo de Insumos'!$B18="","",IF('Catálogo de Insumos'!T18="","",'Catálogo de Insumos'!T18))</f>
        <v/>
      </c>
      <c r="I11" s="53" t="str">
        <f>IF('Catálogo de Insumos'!$B18="","",IF('Catálogo de Insumos'!W18="","",'Catálogo de Insumos'!W18))</f>
        <v/>
      </c>
    </row>
    <row r="12" spans="1:9" ht="23.25" customHeight="1" x14ac:dyDescent="0.25">
      <c r="A12" s="54">
        <f>IF('Catálogo de Insumos'!$B19="","",IF('Catálogo de Insumos'!A19="","",'Catálogo de Insumos'!A19))</f>
        <v>8</v>
      </c>
      <c r="B12" s="55" t="str">
        <f>IF('Catálogo de Insumos'!$B19="","",IF('Catálogo de Insumos'!B19="","",'Catálogo de Insumos'!B19))</f>
        <v>Abrasive Paper, Silicon Carbide, PSA, 250mm, 180#</v>
      </c>
      <c r="C12" s="56" t="str">
        <f>IF('Catálogo de Insumos'!$B19="","",IF('Catálogo de Insumos'!C19="","",'Catálogo de Insumos'!C19))</f>
        <v>Consumible de metalografía</v>
      </c>
      <c r="D12" s="56" t="str">
        <f>IF('Catálogo de Insumos'!$B19="","",IF('Catálogo de Insumos'!Y19="","",'Catálogo de Insumos'!Y19))</f>
        <v/>
      </c>
      <c r="E12" s="57" t="str">
        <f>IF('Catálogo de Insumos'!$B19="","",IF('Catálogo de Insumos'!P19="","",'Catálogo de Insumos'!P19))</f>
        <v/>
      </c>
      <c r="F12" s="54">
        <f>IF('Catálogo de Insumos'!$B19="","",IF('Catálogo de Insumos'!R19="","",'Catálogo de Insumos'!R19))</f>
        <v>0</v>
      </c>
      <c r="G12" s="54" t="str">
        <f>IF('Catálogo de Insumos'!$B19="","",IF('Catálogo de Insumos'!S19="","",'Catálogo de Insumos'!S19))</f>
        <v/>
      </c>
      <c r="H12" s="57" t="str">
        <f>IF('Catálogo de Insumos'!$B19="","",IF('Catálogo de Insumos'!T19="","",'Catálogo de Insumos'!T19))</f>
        <v/>
      </c>
      <c r="I12" s="57" t="str">
        <f>IF('Catálogo de Insumos'!$B19="","",IF('Catálogo de Insumos'!W19="","",'Catálogo de Insumos'!W19))</f>
        <v/>
      </c>
    </row>
    <row r="13" spans="1:9" ht="23.25" customHeight="1" x14ac:dyDescent="0.25">
      <c r="A13" s="50">
        <f>IF('Catálogo de Insumos'!$B20="","",IF('Catálogo de Insumos'!A20="","",'Catálogo de Insumos'!A20))</f>
        <v>9</v>
      </c>
      <c r="B13" s="51" t="str">
        <f>IF('Catálogo de Insumos'!$B20="","",IF('Catálogo de Insumos'!B20="","",'Catálogo de Insumos'!B20))</f>
        <v>Abrasive Paper, Silicon Carbide, PSA, 250mm, 400#</v>
      </c>
      <c r="C13" s="52" t="str">
        <f>IF('Catálogo de Insumos'!$B20="","",IF('Catálogo de Insumos'!C20="","",'Catálogo de Insumos'!C20))</f>
        <v>Consumible de metalografía</v>
      </c>
      <c r="D13" s="52" t="str">
        <f>IF('Catálogo de Insumos'!$B20="","",IF('Catálogo de Insumos'!Y20="","",'Catálogo de Insumos'!Y20))</f>
        <v/>
      </c>
      <c r="E13" s="53" t="str">
        <f>IF('Catálogo de Insumos'!$B20="","",IF('Catálogo de Insumos'!P20="","",'Catálogo de Insumos'!P20))</f>
        <v/>
      </c>
      <c r="F13" s="50">
        <f>IF('Catálogo de Insumos'!$B20="","",IF('Catálogo de Insumos'!R20="","",'Catálogo de Insumos'!R20))</f>
        <v>0</v>
      </c>
      <c r="G13" s="50" t="str">
        <f>IF('Catálogo de Insumos'!$B20="","",IF('Catálogo de Insumos'!S20="","",'Catálogo de Insumos'!S20))</f>
        <v/>
      </c>
      <c r="H13" s="53" t="str">
        <f>IF('Catálogo de Insumos'!$B20="","",IF('Catálogo de Insumos'!T20="","",'Catálogo de Insumos'!T20))</f>
        <v/>
      </c>
      <c r="I13" s="53" t="str">
        <f>IF('Catálogo de Insumos'!$B20="","",IF('Catálogo de Insumos'!W20="","",'Catálogo de Insumos'!W20))</f>
        <v/>
      </c>
    </row>
    <row r="14" spans="1:9" ht="23.25" customHeight="1" x14ac:dyDescent="0.25">
      <c r="A14" s="54">
        <f>IF('Catálogo de Insumos'!$B21="","",IF('Catálogo de Insumos'!A21="","",'Catálogo de Insumos'!A21))</f>
        <v>10</v>
      </c>
      <c r="B14" s="55" t="str">
        <f>IF('Catálogo de Insumos'!$B21="","",IF('Catálogo de Insumos'!B21="","",'Catálogo de Insumos'!B21))</f>
        <v>Abrasive Paper, Silicon Carbide, PSA, 250mm, 800#</v>
      </c>
      <c r="C14" s="56" t="str">
        <f>IF('Catálogo de Insumos'!$B21="","",IF('Catálogo de Insumos'!C21="","",'Catálogo de Insumos'!C21))</f>
        <v>Consumible de metalografía</v>
      </c>
      <c r="D14" s="56" t="str">
        <f>IF('Catálogo de Insumos'!$B21="","",IF('Catálogo de Insumos'!Y21="","",'Catálogo de Insumos'!Y21))</f>
        <v/>
      </c>
      <c r="E14" s="57" t="str">
        <f>IF('Catálogo de Insumos'!$B21="","",IF('Catálogo de Insumos'!P21="","",'Catálogo de Insumos'!P21))</f>
        <v/>
      </c>
      <c r="F14" s="54">
        <f>IF('Catálogo de Insumos'!$B21="","",IF('Catálogo de Insumos'!R21="","",'Catálogo de Insumos'!R21))</f>
        <v>0</v>
      </c>
      <c r="G14" s="54" t="str">
        <f>IF('Catálogo de Insumos'!$B21="","",IF('Catálogo de Insumos'!S21="","",'Catálogo de Insumos'!S21))</f>
        <v/>
      </c>
      <c r="H14" s="57" t="str">
        <f>IF('Catálogo de Insumos'!$B21="","",IF('Catálogo de Insumos'!T21="","",'Catálogo de Insumos'!T21))</f>
        <v/>
      </c>
      <c r="I14" s="57" t="str">
        <f>IF('Catálogo de Insumos'!$B21="","",IF('Catálogo de Insumos'!W21="","",'Catálogo de Insumos'!W21))</f>
        <v/>
      </c>
    </row>
    <row r="15" spans="1:9" ht="23.25" customHeight="1" x14ac:dyDescent="0.25">
      <c r="A15" s="50">
        <f>IF('Catálogo de Insumos'!$B22="","",IF('Catálogo de Insumos'!A22="","",'Catálogo de Insumos'!A22))</f>
        <v>11</v>
      </c>
      <c r="B15" s="51" t="str">
        <f>IF('Catálogo de Insumos'!$B22="","",IF('Catálogo de Insumos'!B22="","",'Catálogo de Insumos'!B22))</f>
        <v>Abrasive Paper, Silicon Carbide, PSA, 250mm, 1200#</v>
      </c>
      <c r="C15" s="52" t="str">
        <f>IF('Catálogo de Insumos'!$B22="","",IF('Catálogo de Insumos'!C22="","",'Catálogo de Insumos'!C22))</f>
        <v>Consumible de metalografía</v>
      </c>
      <c r="D15" s="52" t="str">
        <f>IF('Catálogo de Insumos'!$B22="","",IF('Catálogo de Insumos'!Y22="","",'Catálogo de Insumos'!Y22))</f>
        <v/>
      </c>
      <c r="E15" s="53" t="str">
        <f>IF('Catálogo de Insumos'!$B22="","",IF('Catálogo de Insumos'!P22="","",'Catálogo de Insumos'!P22))</f>
        <v/>
      </c>
      <c r="F15" s="50">
        <f>IF('Catálogo de Insumos'!$B22="","",IF('Catálogo de Insumos'!R22="","",'Catálogo de Insumos'!R22))</f>
        <v>0</v>
      </c>
      <c r="G15" s="50" t="str">
        <f>IF('Catálogo de Insumos'!$B22="","",IF('Catálogo de Insumos'!S22="","",'Catálogo de Insumos'!S22))</f>
        <v/>
      </c>
      <c r="H15" s="53" t="str">
        <f>IF('Catálogo de Insumos'!$B22="","",IF('Catálogo de Insumos'!T22="","",'Catálogo de Insumos'!T22))</f>
        <v/>
      </c>
      <c r="I15" s="53" t="str">
        <f>IF('Catálogo de Insumos'!$B22="","",IF('Catálogo de Insumos'!W22="","",'Catálogo de Insumos'!W22))</f>
        <v/>
      </c>
    </row>
    <row r="16" spans="1:9" ht="23.25" customHeight="1" x14ac:dyDescent="0.25">
      <c r="A16" s="54">
        <f>IF('Catálogo de Insumos'!$B23="","",IF('Catálogo de Insumos'!A23="","",'Catálogo de Insumos'!A23))</f>
        <v>12</v>
      </c>
      <c r="B16" s="55" t="str">
        <f>IF('Catálogo de Insumos'!$B23="","",IF('Catálogo de Insumos'!B23="","",'Catálogo de Insumos'!B23))</f>
        <v>Abrasive Paper, Silicon Carbide, PSA, 250mm, 2400#</v>
      </c>
      <c r="C16" s="56" t="str">
        <f>IF('Catálogo de Insumos'!$B23="","",IF('Catálogo de Insumos'!C23="","",'Catálogo de Insumos'!C23))</f>
        <v>Consumible de metalografía</v>
      </c>
      <c r="D16" s="56" t="str">
        <f>IF('Catálogo de Insumos'!$B23="","",IF('Catálogo de Insumos'!Y23="","",'Catálogo de Insumos'!Y23))</f>
        <v/>
      </c>
      <c r="E16" s="57" t="str">
        <f>IF('Catálogo de Insumos'!$B23="","",IF('Catálogo de Insumos'!P23="","",'Catálogo de Insumos'!P23))</f>
        <v/>
      </c>
      <c r="F16" s="54">
        <f>IF('Catálogo de Insumos'!$B23="","",IF('Catálogo de Insumos'!R23="","",'Catálogo de Insumos'!R23))</f>
        <v>0</v>
      </c>
      <c r="G16" s="54" t="str">
        <f>IF('Catálogo de Insumos'!$B23="","",IF('Catálogo de Insumos'!S23="","",'Catálogo de Insumos'!S23))</f>
        <v/>
      </c>
      <c r="H16" s="57" t="str">
        <f>IF('Catálogo de Insumos'!$B23="","",IF('Catálogo de Insumos'!T23="","",'Catálogo de Insumos'!T23))</f>
        <v/>
      </c>
      <c r="I16" s="57" t="str">
        <f>IF('Catálogo de Insumos'!$B23="","",IF('Catálogo de Insumos'!W23="","",'Catálogo de Insumos'!W23))</f>
        <v/>
      </c>
    </row>
    <row r="17" spans="1:9" ht="23.25" customHeight="1" x14ac:dyDescent="0.25">
      <c r="A17" s="50">
        <f>IF('Catálogo de Insumos'!$B24="","",IF('Catálogo de Insumos'!A24="","",'Catálogo de Insumos'!A24))</f>
        <v>13</v>
      </c>
      <c r="B17" s="51" t="str">
        <f>IF('Catálogo de Insumos'!$B24="","",IF('Catálogo de Insumos'!B24="","",'Catálogo de Insumos'!B24))</f>
        <v>Abrasive Paper, Silicon Carbide, PSA, 250mm, 4000#</v>
      </c>
      <c r="C17" s="52" t="str">
        <f>IF('Catálogo de Insumos'!$B24="","",IF('Catálogo de Insumos'!C24="","",'Catálogo de Insumos'!C24))</f>
        <v>Consumible de metalografía</v>
      </c>
      <c r="D17" s="52" t="str">
        <f>IF('Catálogo de Insumos'!$B24="","",IF('Catálogo de Insumos'!Y24="","",'Catálogo de Insumos'!Y24))</f>
        <v/>
      </c>
      <c r="E17" s="53" t="str">
        <f>IF('Catálogo de Insumos'!$B24="","",IF('Catálogo de Insumos'!P24="","",'Catálogo de Insumos'!P24))</f>
        <v/>
      </c>
      <c r="F17" s="50">
        <f>IF('Catálogo de Insumos'!$B24="","",IF('Catálogo de Insumos'!R24="","",'Catálogo de Insumos'!R24))</f>
        <v>0</v>
      </c>
      <c r="G17" s="50" t="str">
        <f>IF('Catálogo de Insumos'!$B24="","",IF('Catálogo de Insumos'!S24="","",'Catálogo de Insumos'!S24))</f>
        <v/>
      </c>
      <c r="H17" s="53" t="str">
        <f>IF('Catálogo de Insumos'!$B24="","",IF('Catálogo de Insumos'!T24="","",'Catálogo de Insumos'!T24))</f>
        <v/>
      </c>
      <c r="I17" s="53" t="str">
        <f>IF('Catálogo de Insumos'!$B24="","",IF('Catálogo de Insumos'!W24="","",'Catálogo de Insumos'!W24))</f>
        <v/>
      </c>
    </row>
    <row r="18" spans="1:9" ht="15" customHeight="1" x14ac:dyDescent="0.25">
      <c r="A18" s="54">
        <f>IF('Catálogo de Insumos'!$B25="","",IF('Catálogo de Insumos'!A25="","",'Catálogo de Insumos'!A25))</f>
        <v>14</v>
      </c>
      <c r="B18" s="55" t="str">
        <f>IF('Catálogo de Insumos'!$B25="","",IF('Catálogo de Insumos'!B25="","",'Catálogo de Insumos'!B25))</f>
        <v>Adapter Disc, AD PSA, 250mm</v>
      </c>
      <c r="C18" s="56" t="str">
        <f>IF('Catálogo de Insumos'!$B25="","",IF('Catálogo de Insumos'!C25="","",'Catálogo de Insumos'!C25))</f>
        <v>Rendimiento múltiple (herramienta)</v>
      </c>
      <c r="D18" s="56" t="str">
        <f>IF('Catálogo de Insumos'!$B25="","",IF('Catálogo de Insumos'!Y25="","",'Catálogo de Insumos'!Y25))</f>
        <v/>
      </c>
      <c r="E18" s="57" t="str">
        <f>IF('Catálogo de Insumos'!$B25="","",IF('Catálogo de Insumos'!P25="","",'Catálogo de Insumos'!P25))</f>
        <v/>
      </c>
      <c r="F18" s="54">
        <f>IF('Catálogo de Insumos'!$B25="","",IF('Catálogo de Insumos'!R25="","",'Catálogo de Insumos'!R25))</f>
        <v>0</v>
      </c>
      <c r="G18" s="54" t="str">
        <f>IF('Catálogo de Insumos'!$B25="","",IF('Catálogo de Insumos'!S25="","",'Catálogo de Insumos'!S25))</f>
        <v/>
      </c>
      <c r="H18" s="57" t="str">
        <f>IF('Catálogo de Insumos'!$B25="","",IF('Catálogo de Insumos'!T25="","",'Catálogo de Insumos'!T25))</f>
        <v/>
      </c>
      <c r="I18" s="57" t="str">
        <f>IF('Catálogo de Insumos'!$B25="","",IF('Catálogo de Insumos'!W25="","",'Catálogo de Insumos'!W25))</f>
        <v/>
      </c>
    </row>
    <row r="19" spans="1:9" ht="15" customHeight="1" x14ac:dyDescent="0.25">
      <c r="A19" s="50">
        <f>IF('Catálogo de Insumos'!$B26="","",IF('Catálogo de Insumos'!A26="","",'Catálogo de Insumos'!A26))</f>
        <v>15</v>
      </c>
      <c r="B19" s="51" t="str">
        <f>IF('Catálogo de Insumos'!$B26="","",IF('Catálogo de Insumos'!B26="","",'Catálogo de Insumos'!B26))</f>
        <v>Magnetic Plate, 250mm</v>
      </c>
      <c r="C19" s="52" t="str">
        <f>IF('Catálogo de Insumos'!$B26="","",IF('Catálogo de Insumos'!C26="","",'Catálogo de Insumos'!C26))</f>
        <v>Consumible de metalografía</v>
      </c>
      <c r="D19" s="52" t="str">
        <f>IF('Catálogo de Insumos'!$B26="","",IF('Catálogo de Insumos'!Y26="","",'Catálogo de Insumos'!Y26))</f>
        <v/>
      </c>
      <c r="E19" s="53" t="str">
        <f>IF('Catálogo de Insumos'!$B26="","",IF('Catálogo de Insumos'!P26="","",'Catálogo de Insumos'!P26))</f>
        <v/>
      </c>
      <c r="F19" s="50">
        <f>IF('Catálogo de Insumos'!$B26="","",IF('Catálogo de Insumos'!R26="","",'Catálogo de Insumos'!R26))</f>
        <v>0</v>
      </c>
      <c r="G19" s="50" t="str">
        <f>IF('Catálogo de Insumos'!$B26="","",IF('Catálogo de Insumos'!S26="","",'Catálogo de Insumos'!S26))</f>
        <v/>
      </c>
      <c r="H19" s="53" t="str">
        <f>IF('Catálogo de Insumos'!$B26="","",IF('Catálogo de Insumos'!T26="","",'Catálogo de Insumos'!T26))</f>
        <v/>
      </c>
      <c r="I19" s="53" t="str">
        <f>IF('Catálogo de Insumos'!$B26="","",IF('Catálogo de Insumos'!W26="","",'Catálogo de Insumos'!W26))</f>
        <v/>
      </c>
    </row>
    <row r="20" spans="1:9" ht="15" customHeight="1" x14ac:dyDescent="0.25">
      <c r="A20" s="54">
        <f>IF('Catálogo de Insumos'!$B27="","",IF('Catálogo de Insumos'!A27="","",'Catálogo de Insumos'!A27))</f>
        <v>16</v>
      </c>
      <c r="B20" s="55" t="str">
        <f>IF('Catálogo de Insumos'!$B27="","",IF('Catálogo de Insumos'!B27="","",'Catálogo de Insumos'!B27))</f>
        <v>Polishing Cloth, ZN-ZP, 250mm</v>
      </c>
      <c r="C20" s="56" t="str">
        <f>IF('Catálogo de Insumos'!$B27="","",IF('Catálogo de Insumos'!C27="","",'Catálogo de Insumos'!C27))</f>
        <v>Consumible de metalografía</v>
      </c>
      <c r="D20" s="56" t="str">
        <f>IF('Catálogo de Insumos'!$B27="","",IF('Catálogo de Insumos'!Y27="","",'Catálogo de Insumos'!Y27))</f>
        <v/>
      </c>
      <c r="E20" s="57" t="str">
        <f>IF('Catálogo de Insumos'!$B27="","",IF('Catálogo de Insumos'!P27="","",'Catálogo de Insumos'!P27))</f>
        <v/>
      </c>
      <c r="F20" s="54">
        <f>IF('Catálogo de Insumos'!$B27="","",IF('Catálogo de Insumos'!R27="","",'Catálogo de Insumos'!R27))</f>
        <v>0</v>
      </c>
      <c r="G20" s="54" t="str">
        <f>IF('Catálogo de Insumos'!$B27="","",IF('Catálogo de Insumos'!S27="","",'Catálogo de Insumos'!S27))</f>
        <v/>
      </c>
      <c r="H20" s="57" t="str">
        <f>IF('Catálogo de Insumos'!$B27="","",IF('Catálogo de Insumos'!T27="","",'Catálogo de Insumos'!T27))</f>
        <v/>
      </c>
      <c r="I20" s="57" t="str">
        <f>IF('Catálogo de Insumos'!$B27="","",IF('Catálogo de Insumos'!W27="","",'Catálogo de Insumos'!W27))</f>
        <v/>
      </c>
    </row>
    <row r="21" spans="1:9" ht="15" customHeight="1" x14ac:dyDescent="0.25">
      <c r="A21" s="50">
        <f>IF('Catálogo de Insumos'!$B28="","",IF('Catálogo de Insumos'!A28="","",'Catálogo de Insumos'!A28))</f>
        <v>17</v>
      </c>
      <c r="B21" s="51" t="str">
        <f>IF('Catálogo de Insumos'!$B28="","",IF('Catálogo de Insumos'!B28="","",'Catálogo de Insumos'!B28))</f>
        <v>Polishing Cloth, SR-ZP, 250mm</v>
      </c>
      <c r="C21" s="52" t="str">
        <f>IF('Catálogo de Insumos'!$B28="","",IF('Catálogo de Insumos'!C28="","",'Catálogo de Insumos'!C28))</f>
        <v>Consumible de metalografía</v>
      </c>
      <c r="D21" s="52" t="str">
        <f>IF('Catálogo de Insumos'!$B28="","",IF('Catálogo de Insumos'!Y28="","",'Catálogo de Insumos'!Y28))</f>
        <v/>
      </c>
      <c r="E21" s="53" t="str">
        <f>IF('Catálogo de Insumos'!$B28="","",IF('Catálogo de Insumos'!P28="","",'Catálogo de Insumos'!P28))</f>
        <v/>
      </c>
      <c r="F21" s="50">
        <f>IF('Catálogo de Insumos'!$B28="","",IF('Catálogo de Insumos'!R28="","",'Catálogo de Insumos'!R28))</f>
        <v>0</v>
      </c>
      <c r="G21" s="50" t="str">
        <f>IF('Catálogo de Insumos'!$B28="","",IF('Catálogo de Insumos'!S28="","",'Catálogo de Insumos'!S28))</f>
        <v/>
      </c>
      <c r="H21" s="53" t="str">
        <f>IF('Catálogo de Insumos'!$B28="","",IF('Catálogo de Insumos'!T28="","",'Catálogo de Insumos'!T28))</f>
        <v/>
      </c>
      <c r="I21" s="53" t="str">
        <f>IF('Catálogo de Insumos'!$B28="","",IF('Catálogo de Insumos'!W28="","",'Catálogo de Insumos'!W28))</f>
        <v/>
      </c>
    </row>
    <row r="22" spans="1:9" ht="15" customHeight="1" x14ac:dyDescent="0.25">
      <c r="A22" s="54">
        <f>IF('Catálogo de Insumos'!$B29="","",IF('Catálogo de Insumos'!A29="","",'Catálogo de Insumos'!A29))</f>
        <v>18</v>
      </c>
      <c r="B22" s="55" t="str">
        <f>IF('Catálogo de Insumos'!$B29="","",IF('Catálogo de Insumos'!B29="","",'Catálogo de Insumos'!B29))</f>
        <v>Polishing Cloth, YR-JP, 250mm</v>
      </c>
      <c r="C22" s="56" t="str">
        <f>IF('Catálogo de Insumos'!$B29="","",IF('Catálogo de Insumos'!C29="","",'Catálogo de Insumos'!C29))</f>
        <v>Consumible de metalografía</v>
      </c>
      <c r="D22" s="56" t="str">
        <f>IF('Catálogo de Insumos'!$B29="","",IF('Catálogo de Insumos'!Y29="","",'Catálogo de Insumos'!Y29))</f>
        <v/>
      </c>
      <c r="E22" s="57" t="str">
        <f>IF('Catálogo de Insumos'!$B29="","",IF('Catálogo de Insumos'!P29="","",'Catálogo de Insumos'!P29))</f>
        <v/>
      </c>
      <c r="F22" s="54">
        <f>IF('Catálogo de Insumos'!$B29="","",IF('Catálogo de Insumos'!R29="","",'Catálogo de Insumos'!R29))</f>
        <v>0</v>
      </c>
      <c r="G22" s="54" t="str">
        <f>IF('Catálogo de Insumos'!$B29="","",IF('Catálogo de Insumos'!S29="","",'Catálogo de Insumos'!S29))</f>
        <v/>
      </c>
      <c r="H22" s="57" t="str">
        <f>IF('Catálogo de Insumos'!$B29="","",IF('Catálogo de Insumos'!T29="","",'Catálogo de Insumos'!T29))</f>
        <v/>
      </c>
      <c r="I22" s="57" t="str">
        <f>IF('Catálogo de Insumos'!$B29="","",IF('Catálogo de Insumos'!W29="","",'Catálogo de Insumos'!W29))</f>
        <v/>
      </c>
    </row>
    <row r="23" spans="1:9" ht="15" customHeight="1" x14ac:dyDescent="0.25">
      <c r="A23" s="50">
        <f>IF('Catálogo de Insumos'!$B30="","",IF('Catálogo de Insumos'!A30="","",'Catálogo de Insumos'!A30))</f>
        <v>19</v>
      </c>
      <c r="B23" s="51" t="str">
        <f>IF('Catálogo de Insumos'!$B30="","",IF('Catálogo de Insumos'!B30="","",'Catálogo de Insumos'!B30))</f>
        <v>Hot Mounting Compounds, DC 2239</v>
      </c>
      <c r="C23" s="52" t="str">
        <f>IF('Catálogo de Insumos'!$B30="","",IF('Catálogo de Insumos'!C30="","",'Catálogo de Insumos'!C30))</f>
        <v>Consumible de metalografía</v>
      </c>
      <c r="D23" s="52" t="str">
        <f>IF('Catálogo de Insumos'!$B30="","",IF('Catálogo de Insumos'!Y30="","",'Catálogo de Insumos'!Y30))</f>
        <v/>
      </c>
      <c r="E23" s="53" t="str">
        <f>IF('Catálogo de Insumos'!$B30="","",IF('Catálogo de Insumos'!P30="","",'Catálogo de Insumos'!P30))</f>
        <v/>
      </c>
      <c r="F23" s="50">
        <f>IF('Catálogo de Insumos'!$B30="","",IF('Catálogo de Insumos'!R30="","",'Catálogo de Insumos'!R30))</f>
        <v>0</v>
      </c>
      <c r="G23" s="50" t="str">
        <f>IF('Catálogo de Insumos'!$B30="","",IF('Catálogo de Insumos'!S30="","",'Catálogo de Insumos'!S30))</f>
        <v/>
      </c>
      <c r="H23" s="53" t="str">
        <f>IF('Catálogo de Insumos'!$B30="","",IF('Catálogo de Insumos'!T30="","",'Catálogo de Insumos'!T30))</f>
        <v/>
      </c>
      <c r="I23" s="53" t="str">
        <f>IF('Catálogo de Insumos'!$B30="","",IF('Catálogo de Insumos'!W30="","",'Catálogo de Insumos'!W30))</f>
        <v/>
      </c>
    </row>
    <row r="24" spans="1:9" ht="15" customHeight="1" x14ac:dyDescent="0.25">
      <c r="A24" s="54">
        <f>IF('Catálogo de Insumos'!$B31="","",IF('Catálogo de Insumos'!A31="","",'Catálogo de Insumos'!A31))</f>
        <v>20</v>
      </c>
      <c r="B24" s="55" t="str">
        <f>IF('Catálogo de Insumos'!$B31="","",IF('Catálogo de Insumos'!B31="","",'Catálogo de Insumos'!B31))</f>
        <v>Alumina Powder, 1µm</v>
      </c>
      <c r="C24" s="56" t="str">
        <f>IF('Catálogo de Insumos'!$B31="","",IF('Catálogo de Insumos'!C31="","",'Catálogo de Insumos'!C31))</f>
        <v>Consumible de metalografía</v>
      </c>
      <c r="D24" s="56" t="str">
        <f>IF('Catálogo de Insumos'!$B31="","",IF('Catálogo de Insumos'!Y31="","",'Catálogo de Insumos'!Y31))</f>
        <v/>
      </c>
      <c r="E24" s="57" t="str">
        <f>IF('Catálogo de Insumos'!$B31="","",IF('Catálogo de Insumos'!P31="","",'Catálogo de Insumos'!P31))</f>
        <v/>
      </c>
      <c r="F24" s="54">
        <f>IF('Catálogo de Insumos'!$B31="","",IF('Catálogo de Insumos'!R31="","",'Catálogo de Insumos'!R31))</f>
        <v>0</v>
      </c>
      <c r="G24" s="54" t="str">
        <f>IF('Catálogo de Insumos'!$B31="","",IF('Catálogo de Insumos'!S31="","",'Catálogo de Insumos'!S31))</f>
        <v/>
      </c>
      <c r="H24" s="57" t="str">
        <f>IF('Catálogo de Insumos'!$B31="","",IF('Catálogo de Insumos'!T31="","",'Catálogo de Insumos'!T31))</f>
        <v/>
      </c>
      <c r="I24" s="57" t="str">
        <f>IF('Catálogo de Insumos'!$B31="","",IF('Catálogo de Insumos'!W31="","",'Catálogo de Insumos'!W31))</f>
        <v/>
      </c>
    </row>
    <row r="25" spans="1:9" ht="15" customHeight="1" x14ac:dyDescent="0.25">
      <c r="A25" s="50">
        <f>IF('Catálogo de Insumos'!$B32="","",IF('Catálogo de Insumos'!A32="","",'Catálogo de Insumos'!A32))</f>
        <v>21</v>
      </c>
      <c r="B25" s="51" t="str">
        <f>IF('Catálogo de Insumos'!$B32="","",IF('Catálogo de Insumos'!B32="","",'Catálogo de Insumos'!B32))</f>
        <v>Alumina Powder, 0.3µm</v>
      </c>
      <c r="C25" s="52" t="str">
        <f>IF('Catálogo de Insumos'!$B32="","",IF('Catálogo de Insumos'!C32="","",'Catálogo de Insumos'!C32))</f>
        <v>Consumible de metalografía</v>
      </c>
      <c r="D25" s="52" t="str">
        <f>IF('Catálogo de Insumos'!$B32="","",IF('Catálogo de Insumos'!Y32="","",'Catálogo de Insumos'!Y32))</f>
        <v/>
      </c>
      <c r="E25" s="53" t="str">
        <f>IF('Catálogo de Insumos'!$B32="","",IF('Catálogo de Insumos'!P32="","",'Catálogo de Insumos'!P32))</f>
        <v/>
      </c>
      <c r="F25" s="50">
        <f>IF('Catálogo de Insumos'!$B32="","",IF('Catálogo de Insumos'!R32="","",'Catálogo de Insumos'!R32))</f>
        <v>0</v>
      </c>
      <c r="G25" s="50" t="str">
        <f>IF('Catálogo de Insumos'!$B32="","",IF('Catálogo de Insumos'!S32="","",'Catálogo de Insumos'!S32))</f>
        <v/>
      </c>
      <c r="H25" s="53" t="str">
        <f>IF('Catálogo de Insumos'!$B32="","",IF('Catálogo de Insumos'!T32="","",'Catálogo de Insumos'!T32))</f>
        <v/>
      </c>
      <c r="I25" s="53" t="str">
        <f>IF('Catálogo de Insumos'!$B32="","",IF('Catálogo de Insumos'!W32="","",'Catálogo de Insumos'!W32))</f>
        <v/>
      </c>
    </row>
    <row r="26" spans="1:9" ht="15" customHeight="1" x14ac:dyDescent="0.25">
      <c r="A26" s="54">
        <f>IF('Catálogo de Insumos'!$B33="","",IF('Catálogo de Insumos'!A33="","",'Catálogo de Insumos'!A33))</f>
        <v>22</v>
      </c>
      <c r="B26" s="55" t="str">
        <f>IF('Catálogo de Insumos'!$B33="","",IF('Catálogo de Insumos'!B33="","",'Catálogo de Insumos'!B33))</f>
        <v>Hot Mounting Compounds, PT 2231</v>
      </c>
      <c r="C26" s="56" t="str">
        <f>IF('Catálogo de Insumos'!$B33="","",IF('Catálogo de Insumos'!C33="","",'Catálogo de Insumos'!C33))</f>
        <v>Consumible de metalografía</v>
      </c>
      <c r="D26" s="56" t="str">
        <f>IF('Catálogo de Insumos'!$B33="","",IF('Catálogo de Insumos'!Y33="","",'Catálogo de Insumos'!Y33))</f>
        <v/>
      </c>
      <c r="E26" s="57" t="str">
        <f>IF('Catálogo de Insumos'!$B33="","",IF('Catálogo de Insumos'!P33="","",'Catálogo de Insumos'!P33))</f>
        <v/>
      </c>
      <c r="F26" s="54">
        <f>IF('Catálogo de Insumos'!$B33="","",IF('Catálogo de Insumos'!R33="","",'Catálogo de Insumos'!R33))</f>
        <v>0</v>
      </c>
      <c r="G26" s="54" t="str">
        <f>IF('Catálogo de Insumos'!$B33="","",IF('Catálogo de Insumos'!S33="","",'Catálogo de Insumos'!S33))</f>
        <v/>
      </c>
      <c r="H26" s="57" t="str">
        <f>IF('Catálogo de Insumos'!$B33="","",IF('Catálogo de Insumos'!T33="","",'Catálogo de Insumos'!T33))</f>
        <v/>
      </c>
      <c r="I26" s="57" t="str">
        <f>IF('Catálogo de Insumos'!$B33="","",IF('Catálogo de Insumos'!W33="","",'Catálogo de Insumos'!W33))</f>
        <v/>
      </c>
    </row>
    <row r="27" spans="1:9" ht="15" customHeight="1" x14ac:dyDescent="0.25">
      <c r="A27" s="50">
        <f>IF('Catálogo de Insumos'!$B34="","",IF('Catálogo de Insumos'!A34="","",'Catálogo de Insumos'!A34))</f>
        <v>23</v>
      </c>
      <c r="B27" s="51" t="str">
        <f>IF('Catálogo de Insumos'!$B34="","",IF('Catálogo de Insumos'!B34="","",'Catálogo de Insumos'!B34))</f>
        <v>Silica Suspension, 50nm</v>
      </c>
      <c r="C27" s="52" t="str">
        <f>IF('Catálogo de Insumos'!$B34="","",IF('Catálogo de Insumos'!C34="","",'Catálogo de Insumos'!C34))</f>
        <v>Consumible de metalografía</v>
      </c>
      <c r="D27" s="52" t="str">
        <f>IF('Catálogo de Insumos'!$B34="","",IF('Catálogo de Insumos'!Y34="","",'Catálogo de Insumos'!Y34))</f>
        <v/>
      </c>
      <c r="E27" s="53" t="str">
        <f>IF('Catálogo de Insumos'!$B34="","",IF('Catálogo de Insumos'!P34="","",'Catálogo de Insumos'!P34))</f>
        <v/>
      </c>
      <c r="F27" s="50">
        <f>IF('Catálogo de Insumos'!$B34="","",IF('Catálogo de Insumos'!R34="","",'Catálogo de Insumos'!R34))</f>
        <v>0</v>
      </c>
      <c r="G27" s="50" t="str">
        <f>IF('Catálogo de Insumos'!$B34="","",IF('Catálogo de Insumos'!S34="","",'Catálogo de Insumos'!S34))</f>
        <v/>
      </c>
      <c r="H27" s="53" t="str">
        <f>IF('Catálogo de Insumos'!$B34="","",IF('Catálogo de Insumos'!T34="","",'Catálogo de Insumos'!T34))</f>
        <v/>
      </c>
      <c r="I27" s="53" t="str">
        <f>IF('Catálogo de Insumos'!$B34="","",IF('Catálogo de Insumos'!W34="","",'Catálogo de Insumos'!W34))</f>
        <v/>
      </c>
    </row>
    <row r="28" spans="1:9" ht="15" customHeight="1" x14ac:dyDescent="0.25">
      <c r="A28" s="54">
        <f>IF('Catálogo de Insumos'!$B35="","",IF('Catálogo de Insumos'!A35="","",'Catálogo de Insumos'!A35))</f>
        <v>24</v>
      </c>
      <c r="B28" s="55" t="str">
        <f>IF('Catálogo de Insumos'!$B35="","",IF('Catálogo de Insumos'!B35="","",'Catálogo de Insumos'!B35))</f>
        <v>Diamond Suspension, 6µm</v>
      </c>
      <c r="C28" s="56" t="str">
        <f>IF('Catálogo de Insumos'!$B35="","",IF('Catálogo de Insumos'!C35="","",'Catálogo de Insumos'!C35))</f>
        <v>Consumible de metalografía</v>
      </c>
      <c r="D28" s="56" t="str">
        <f>IF('Catálogo de Insumos'!$B35="","",IF('Catálogo de Insumos'!Y35="","",'Catálogo de Insumos'!Y35))</f>
        <v/>
      </c>
      <c r="E28" s="57" t="str">
        <f>IF('Catálogo de Insumos'!$B35="","",IF('Catálogo de Insumos'!P35="","",'Catálogo de Insumos'!P35))</f>
        <v/>
      </c>
      <c r="F28" s="54">
        <f>IF('Catálogo de Insumos'!$B35="","",IF('Catálogo de Insumos'!R35="","",'Catálogo de Insumos'!R35))</f>
        <v>0</v>
      </c>
      <c r="G28" s="54" t="str">
        <f>IF('Catálogo de Insumos'!$B35="","",IF('Catálogo de Insumos'!S35="","",'Catálogo de Insumos'!S35))</f>
        <v/>
      </c>
      <c r="H28" s="57" t="str">
        <f>IF('Catálogo de Insumos'!$B35="","",IF('Catálogo de Insumos'!T35="","",'Catálogo de Insumos'!T35))</f>
        <v/>
      </c>
      <c r="I28" s="57" t="str">
        <f>IF('Catálogo de Insumos'!$B35="","",IF('Catálogo de Insumos'!W35="","",'Catálogo de Insumos'!W35))</f>
        <v/>
      </c>
    </row>
    <row r="29" spans="1:9" ht="15" customHeight="1" x14ac:dyDescent="0.25">
      <c r="A29" s="50">
        <f>IF('Catálogo de Insumos'!$B36="","",IF('Catálogo de Insumos'!A36="","",'Catálogo de Insumos'!A36))</f>
        <v>25</v>
      </c>
      <c r="B29" s="51" t="str">
        <f>IF('Catálogo de Insumos'!$B36="","",IF('Catálogo de Insumos'!B36="","",'Catálogo de Insumos'!B36))</f>
        <v>Diamond Suspension, 3µm</v>
      </c>
      <c r="C29" s="52" t="str">
        <f>IF('Catálogo de Insumos'!$B36="","",IF('Catálogo de Insumos'!C36="","",'Catálogo de Insumos'!C36))</f>
        <v>Consumible de metalografía</v>
      </c>
      <c r="D29" s="52" t="str">
        <f>IF('Catálogo de Insumos'!$B36="","",IF('Catálogo de Insumos'!Y36="","",'Catálogo de Insumos'!Y36))</f>
        <v/>
      </c>
      <c r="E29" s="53" t="str">
        <f>IF('Catálogo de Insumos'!$B36="","",IF('Catálogo de Insumos'!P36="","",'Catálogo de Insumos'!P36))</f>
        <v/>
      </c>
      <c r="F29" s="50">
        <f>IF('Catálogo de Insumos'!$B36="","",IF('Catálogo de Insumos'!R36="","",'Catálogo de Insumos'!R36))</f>
        <v>0</v>
      </c>
      <c r="G29" s="50" t="str">
        <f>IF('Catálogo de Insumos'!$B36="","",IF('Catálogo de Insumos'!S36="","",'Catálogo de Insumos'!S36))</f>
        <v/>
      </c>
      <c r="H29" s="53" t="str">
        <f>IF('Catálogo de Insumos'!$B36="","",IF('Catálogo de Insumos'!T36="","",'Catálogo de Insumos'!T36))</f>
        <v/>
      </c>
      <c r="I29" s="53" t="str">
        <f>IF('Catálogo de Insumos'!$B36="","",IF('Catálogo de Insumos'!W36="","",'Catálogo de Insumos'!W36))</f>
        <v/>
      </c>
    </row>
    <row r="30" spans="1:9" ht="15" customHeight="1" x14ac:dyDescent="0.25">
      <c r="A30" s="54">
        <f>IF('Catálogo de Insumos'!$B37="","",IF('Catálogo de Insumos'!A37="","",'Catálogo de Insumos'!A37))</f>
        <v>26</v>
      </c>
      <c r="B30" s="55" t="str">
        <f>IF('Catálogo de Insumos'!$B37="","",IF('Catálogo de Insumos'!B37="","",'Catálogo de Insumos'!B37))</f>
        <v>Diamond Suspension, 1µm</v>
      </c>
      <c r="C30" s="56" t="str">
        <f>IF('Catálogo de Insumos'!$B37="","",IF('Catálogo de Insumos'!C37="","",'Catálogo de Insumos'!C37))</f>
        <v>Consumible de metalografía</v>
      </c>
      <c r="D30" s="56" t="str">
        <f>IF('Catálogo de Insumos'!$B37="","",IF('Catálogo de Insumos'!Y37="","",'Catálogo de Insumos'!Y37))</f>
        <v/>
      </c>
      <c r="E30" s="57" t="str">
        <f>IF('Catálogo de Insumos'!$B37="","",IF('Catálogo de Insumos'!P37="","",'Catálogo de Insumos'!P37))</f>
        <v/>
      </c>
      <c r="F30" s="54">
        <f>IF('Catálogo de Insumos'!$B37="","",IF('Catálogo de Insumos'!R37="","",'Catálogo de Insumos'!R37))</f>
        <v>0</v>
      </c>
      <c r="G30" s="54" t="str">
        <f>IF('Catálogo de Insumos'!$B37="","",IF('Catálogo de Insumos'!S37="","",'Catálogo de Insumos'!S37))</f>
        <v/>
      </c>
      <c r="H30" s="57" t="str">
        <f>IF('Catálogo de Insumos'!$B37="","",IF('Catálogo de Insumos'!T37="","",'Catálogo de Insumos'!T37))</f>
        <v/>
      </c>
      <c r="I30" s="57" t="str">
        <f>IF('Catálogo de Insumos'!$B37="","",IF('Catálogo de Insumos'!W37="","",'Catálogo de Insumos'!W37))</f>
        <v/>
      </c>
    </row>
    <row r="31" spans="1:9" ht="15" customHeight="1" x14ac:dyDescent="0.25">
      <c r="A31" s="50">
        <f>IF('Catálogo de Insumos'!$B38="","",IF('Catálogo de Insumos'!A38="","",'Catálogo de Insumos'!A38))</f>
        <v>27</v>
      </c>
      <c r="B31" s="51" t="str">
        <f>IF('Catálogo de Insumos'!$B38="","",IF('Catálogo de Insumos'!B38="","",'Catálogo de Insumos'!B38))</f>
        <v>Diamond Suspension, 0.25µm</v>
      </c>
      <c r="C31" s="52" t="str">
        <f>IF('Catálogo de Insumos'!$B38="","",IF('Catálogo de Insumos'!C38="","",'Catálogo de Insumos'!C38))</f>
        <v>Consumible de metalografía</v>
      </c>
      <c r="D31" s="52" t="str">
        <f>IF('Catálogo de Insumos'!$B38="","",IF('Catálogo de Insumos'!Y38="","",'Catálogo de Insumos'!Y38))</f>
        <v/>
      </c>
      <c r="E31" s="53" t="str">
        <f>IF('Catálogo de Insumos'!$B38="","",IF('Catálogo de Insumos'!P38="","",'Catálogo de Insumos'!P38))</f>
        <v/>
      </c>
      <c r="F31" s="50">
        <f>IF('Catálogo de Insumos'!$B38="","",IF('Catálogo de Insumos'!R38="","",'Catálogo de Insumos'!R38))</f>
        <v>0</v>
      </c>
      <c r="G31" s="50" t="str">
        <f>IF('Catálogo de Insumos'!$B38="","",IF('Catálogo de Insumos'!S38="","",'Catálogo de Insumos'!S38))</f>
        <v/>
      </c>
      <c r="H31" s="53" t="str">
        <f>IF('Catálogo de Insumos'!$B38="","",IF('Catálogo de Insumos'!T38="","",'Catálogo de Insumos'!T38))</f>
        <v/>
      </c>
      <c r="I31" s="53" t="str">
        <f>IF('Catálogo de Insumos'!$B38="","",IF('Catálogo de Insumos'!W38="","",'Catálogo de Insumos'!W38))</f>
        <v/>
      </c>
    </row>
    <row r="32" spans="1:9" ht="15" customHeight="1" x14ac:dyDescent="0.25">
      <c r="A32" s="54">
        <f>IF('Catálogo de Insumos'!$B39="","",IF('Catálogo de Insumos'!A39="","",'Catálogo de Insumos'!A39))</f>
        <v>28</v>
      </c>
      <c r="B32" s="55" t="str">
        <f>IF('Catálogo de Insumos'!$B39="","",IF('Catálogo de Insumos'!B39="","",'Catálogo de Insumos'!B39))</f>
        <v>Polishing Lubricants</v>
      </c>
      <c r="C32" s="56" t="str">
        <f>IF('Catálogo de Insumos'!$B39="","",IF('Catálogo de Insumos'!C39="","",'Catálogo de Insumos'!C39))</f>
        <v>Consumible de metalografía</v>
      </c>
      <c r="D32" s="56" t="str">
        <f>IF('Catálogo de Insumos'!$B39="","",IF('Catálogo de Insumos'!Y39="","",'Catálogo de Insumos'!Y39))</f>
        <v/>
      </c>
      <c r="E32" s="57" t="str">
        <f>IF('Catálogo de Insumos'!$B39="","",IF('Catálogo de Insumos'!P39="","",'Catálogo de Insumos'!P39))</f>
        <v/>
      </c>
      <c r="F32" s="54">
        <f>IF('Catálogo de Insumos'!$B39="","",IF('Catálogo de Insumos'!R39="","",'Catálogo de Insumos'!R39))</f>
        <v>0</v>
      </c>
      <c r="G32" s="54" t="str">
        <f>IF('Catálogo de Insumos'!$B39="","",IF('Catálogo de Insumos'!S39="","",'Catálogo de Insumos'!S39))</f>
        <v/>
      </c>
      <c r="H32" s="57" t="str">
        <f>IF('Catálogo de Insumos'!$B39="","",IF('Catálogo de Insumos'!T39="","",'Catálogo de Insumos'!T39))</f>
        <v/>
      </c>
      <c r="I32" s="57" t="str">
        <f>IF('Catálogo de Insumos'!$B39="","",IF('Catálogo de Insumos'!W39="","",'Catálogo de Insumos'!W39))</f>
        <v/>
      </c>
    </row>
    <row r="33" spans="1:9" ht="15" customHeight="1" x14ac:dyDescent="0.25">
      <c r="A33" s="50">
        <f>IF('Catálogo de Insumos'!$B40="","",IF('Catálogo de Insumos'!A40="","",'Catálogo de Insumos'!A40))</f>
        <v>29</v>
      </c>
      <c r="B33" s="51" t="str">
        <f>IF('Catálogo de Insumos'!$B40="","",IF('Catálogo de Insumos'!B40="","",'Catálogo de Insumos'!B40))</f>
        <v>Guantes de latex talla M</v>
      </c>
      <c r="C33" s="52" t="str">
        <f>IF('Catálogo de Insumos'!$B40="","",IF('Catálogo de Insumos'!C40="","",'Catálogo de Insumos'!C40))</f>
        <v>Consumible de metalografía</v>
      </c>
      <c r="D33" s="52" t="str">
        <f>IF('Catálogo de Insumos'!$B40="","",IF('Catálogo de Insumos'!Y40="","",'Catálogo de Insumos'!Y40))</f>
        <v/>
      </c>
      <c r="E33" s="53" t="str">
        <f>IF('Catálogo de Insumos'!$B40="","",IF('Catálogo de Insumos'!P40="","",'Catálogo de Insumos'!P40))</f>
        <v/>
      </c>
      <c r="F33" s="50">
        <f>IF('Catálogo de Insumos'!$B40="","",IF('Catálogo de Insumos'!R40="","",'Catálogo de Insumos'!R40))</f>
        <v>0</v>
      </c>
      <c r="G33" s="50" t="str">
        <f>IF('Catálogo de Insumos'!$B40="","",IF('Catálogo de Insumos'!S40="","",'Catálogo de Insumos'!S40))</f>
        <v/>
      </c>
      <c r="H33" s="53" t="str">
        <f>IF('Catálogo de Insumos'!$B40="","",IF('Catálogo de Insumos'!T40="","",'Catálogo de Insumos'!T40))</f>
        <v/>
      </c>
      <c r="I33" s="53" t="str">
        <f>IF('Catálogo de Insumos'!$B40="","",IF('Catálogo de Insumos'!W40="","",'Catálogo de Insumos'!W40))</f>
        <v/>
      </c>
    </row>
    <row r="34" spans="1:9" ht="15" customHeight="1" x14ac:dyDescent="0.25">
      <c r="A34" s="54" t="str">
        <f>IF('Catálogo de Insumos'!$B41="","",IF('Catálogo de Insumos'!A41="","",'Catálogo de Insumos'!A41))</f>
        <v/>
      </c>
      <c r="B34" s="55" t="str">
        <f>IF('Catálogo de Insumos'!$B41="","",IF('Catálogo de Insumos'!B41="","",'Catálogo de Insumos'!B41))</f>
        <v/>
      </c>
      <c r="C34" s="56" t="str">
        <f>IF('Catálogo de Insumos'!$B41="","",IF('Catálogo de Insumos'!C41="","",'Catálogo de Insumos'!C41))</f>
        <v/>
      </c>
      <c r="D34" s="56" t="str">
        <f>IF('Catálogo de Insumos'!$B41="","",IF('Catálogo de Insumos'!Y41="","",'Catálogo de Insumos'!Y41))</f>
        <v/>
      </c>
      <c r="E34" s="57" t="str">
        <f>IF('Catálogo de Insumos'!$B41="","",IF('Catálogo de Insumos'!P41="","",'Catálogo de Insumos'!P41))</f>
        <v/>
      </c>
      <c r="F34" s="54" t="str">
        <f>IF('Catálogo de Insumos'!$B41="","",IF('Catálogo de Insumos'!R41="","",'Catálogo de Insumos'!R41))</f>
        <v/>
      </c>
      <c r="G34" s="54" t="str">
        <f>IF('Catálogo de Insumos'!$B41="","",IF('Catálogo de Insumos'!S41="","",'Catálogo de Insumos'!S41))</f>
        <v/>
      </c>
      <c r="H34" s="57" t="str">
        <f>IF('Catálogo de Insumos'!$B41="","",IF('Catálogo de Insumos'!T41="","",'Catálogo de Insumos'!T41))</f>
        <v/>
      </c>
      <c r="I34" s="57" t="str">
        <f>IF('Catálogo de Insumos'!$B41="","",IF('Catálogo de Insumos'!W41="","",'Catálogo de Insumos'!W41))</f>
        <v/>
      </c>
    </row>
    <row r="35" spans="1:9" ht="15" customHeight="1" x14ac:dyDescent="0.25">
      <c r="A35" s="50" t="str">
        <f>IF('Catálogo de Insumos'!$B42="","",IF('Catálogo de Insumos'!A42="","",'Catálogo de Insumos'!A42))</f>
        <v/>
      </c>
      <c r="B35" s="51" t="str">
        <f>IF('Catálogo de Insumos'!$B42="","",IF('Catálogo de Insumos'!B42="","",'Catálogo de Insumos'!B42))</f>
        <v/>
      </c>
      <c r="C35" s="52" t="str">
        <f>IF('Catálogo de Insumos'!$B42="","",IF('Catálogo de Insumos'!C42="","",'Catálogo de Insumos'!C42))</f>
        <v/>
      </c>
      <c r="D35" s="52" t="str">
        <f>IF('Catálogo de Insumos'!$B42="","",IF('Catálogo de Insumos'!Y42="","",'Catálogo de Insumos'!Y42))</f>
        <v/>
      </c>
      <c r="E35" s="53" t="str">
        <f>IF('Catálogo de Insumos'!$B42="","",IF('Catálogo de Insumos'!P42="","",'Catálogo de Insumos'!P42))</f>
        <v/>
      </c>
      <c r="F35" s="50" t="str">
        <f>IF('Catálogo de Insumos'!$B42="","",IF('Catálogo de Insumos'!R42="","",'Catálogo de Insumos'!R42))</f>
        <v/>
      </c>
      <c r="G35" s="50" t="str">
        <f>IF('Catálogo de Insumos'!$B42="","",IF('Catálogo de Insumos'!S42="","",'Catálogo de Insumos'!S42))</f>
        <v/>
      </c>
      <c r="H35" s="53" t="str">
        <f>IF('Catálogo de Insumos'!$B42="","",IF('Catálogo de Insumos'!T42="","",'Catálogo de Insumos'!T42))</f>
        <v/>
      </c>
      <c r="I35" s="53" t="str">
        <f>IF('Catálogo de Insumos'!$B42="","",IF('Catálogo de Insumos'!W42="","",'Catálogo de Insumos'!W42))</f>
        <v/>
      </c>
    </row>
    <row r="36" spans="1:9" ht="15" customHeight="1" x14ac:dyDescent="0.25">
      <c r="A36" s="54" t="str">
        <f>IF('Catálogo de Insumos'!$B43="","",IF('Catálogo de Insumos'!A43="","",'Catálogo de Insumos'!A43))</f>
        <v/>
      </c>
      <c r="B36" s="55" t="str">
        <f>IF('Catálogo de Insumos'!$B43="","",IF('Catálogo de Insumos'!B43="","",'Catálogo de Insumos'!B43))</f>
        <v/>
      </c>
      <c r="C36" s="56" t="str">
        <f>IF('Catálogo de Insumos'!$B43="","",IF('Catálogo de Insumos'!C43="","",'Catálogo de Insumos'!C43))</f>
        <v/>
      </c>
      <c r="D36" s="56" t="str">
        <f>IF('Catálogo de Insumos'!$B43="","",IF('Catálogo de Insumos'!Y43="","",'Catálogo de Insumos'!Y43))</f>
        <v/>
      </c>
      <c r="E36" s="57" t="str">
        <f>IF('Catálogo de Insumos'!$B43="","",IF('Catálogo de Insumos'!P43="","",'Catálogo de Insumos'!P43))</f>
        <v/>
      </c>
      <c r="F36" s="54" t="str">
        <f>IF('Catálogo de Insumos'!$B43="","",IF('Catálogo de Insumos'!R43="","",'Catálogo de Insumos'!R43))</f>
        <v/>
      </c>
      <c r="G36" s="54" t="str">
        <f>IF('Catálogo de Insumos'!$B43="","",IF('Catálogo de Insumos'!S43="","",'Catálogo de Insumos'!S43))</f>
        <v/>
      </c>
      <c r="H36" s="57" t="str">
        <f>IF('Catálogo de Insumos'!$B43="","",IF('Catálogo de Insumos'!T43="","",'Catálogo de Insumos'!T43))</f>
        <v/>
      </c>
      <c r="I36" s="57" t="str">
        <f>IF('Catálogo de Insumos'!$B43="","",IF('Catálogo de Insumos'!W43="","",'Catálogo de Insumos'!W43))</f>
        <v/>
      </c>
    </row>
    <row r="37" spans="1:9" ht="15" customHeight="1" x14ac:dyDescent="0.25">
      <c r="A37" s="50" t="str">
        <f>IF('Catálogo de Insumos'!$B44="","",IF('Catálogo de Insumos'!A44="","",'Catálogo de Insumos'!A44))</f>
        <v/>
      </c>
      <c r="B37" s="51" t="str">
        <f>IF('Catálogo de Insumos'!$B44="","",IF('Catálogo de Insumos'!B44="","",'Catálogo de Insumos'!B44))</f>
        <v/>
      </c>
      <c r="C37" s="52" t="str">
        <f>IF('Catálogo de Insumos'!$B44="","",IF('Catálogo de Insumos'!C44="","",'Catálogo de Insumos'!C44))</f>
        <v/>
      </c>
      <c r="D37" s="52" t="str">
        <f>IF('Catálogo de Insumos'!$B44="","",IF('Catálogo de Insumos'!Y44="","",'Catálogo de Insumos'!Y44))</f>
        <v/>
      </c>
      <c r="E37" s="53" t="str">
        <f>IF('Catálogo de Insumos'!$B44="","",IF('Catálogo de Insumos'!P44="","",'Catálogo de Insumos'!P44))</f>
        <v/>
      </c>
      <c r="F37" s="50" t="str">
        <f>IF('Catálogo de Insumos'!$B44="","",IF('Catálogo de Insumos'!R44="","",'Catálogo de Insumos'!R44))</f>
        <v/>
      </c>
      <c r="G37" s="50" t="str">
        <f>IF('Catálogo de Insumos'!$B44="","",IF('Catálogo de Insumos'!S44="","",'Catálogo de Insumos'!S44))</f>
        <v/>
      </c>
      <c r="H37" s="53" t="str">
        <f>IF('Catálogo de Insumos'!$B44="","",IF('Catálogo de Insumos'!T44="","",'Catálogo de Insumos'!T44))</f>
        <v/>
      </c>
      <c r="I37" s="53" t="str">
        <f>IF('Catálogo de Insumos'!$B44="","",IF('Catálogo de Insumos'!W44="","",'Catálogo de Insumos'!W44))</f>
        <v/>
      </c>
    </row>
    <row r="38" spans="1:9" ht="15" customHeight="1" x14ac:dyDescent="0.25">
      <c r="A38" s="54" t="str">
        <f>IF('Catálogo de Insumos'!$B45="","",IF('Catálogo de Insumos'!A45="","",'Catálogo de Insumos'!A45))</f>
        <v/>
      </c>
      <c r="B38" s="55" t="str">
        <f>IF('Catálogo de Insumos'!$B45="","",IF('Catálogo de Insumos'!B45="","",'Catálogo de Insumos'!B45))</f>
        <v/>
      </c>
      <c r="C38" s="56" t="str">
        <f>IF('Catálogo de Insumos'!$B45="","",IF('Catálogo de Insumos'!C45="","",'Catálogo de Insumos'!C45))</f>
        <v/>
      </c>
      <c r="D38" s="56" t="str">
        <f>IF('Catálogo de Insumos'!$B45="","",IF('Catálogo de Insumos'!Y45="","",'Catálogo de Insumos'!Y45))</f>
        <v/>
      </c>
      <c r="E38" s="57" t="str">
        <f>IF('Catálogo de Insumos'!$B45="","",IF('Catálogo de Insumos'!P45="","",'Catálogo de Insumos'!P45))</f>
        <v/>
      </c>
      <c r="F38" s="54" t="str">
        <f>IF('Catálogo de Insumos'!$B45="","",IF('Catálogo de Insumos'!R45="","",'Catálogo de Insumos'!R45))</f>
        <v/>
      </c>
      <c r="G38" s="54" t="str">
        <f>IF('Catálogo de Insumos'!$B45="","",IF('Catálogo de Insumos'!S45="","",'Catálogo de Insumos'!S45))</f>
        <v/>
      </c>
      <c r="H38" s="57" t="str">
        <f>IF('Catálogo de Insumos'!$B45="","",IF('Catálogo de Insumos'!T45="","",'Catálogo de Insumos'!T45))</f>
        <v/>
      </c>
      <c r="I38" s="57" t="str">
        <f>IF('Catálogo de Insumos'!$B45="","",IF('Catálogo de Insumos'!W45="","",'Catálogo de Insumos'!W45))</f>
        <v/>
      </c>
    </row>
    <row r="39" spans="1:9" ht="15" customHeight="1" x14ac:dyDescent="0.25">
      <c r="A39" s="50" t="str">
        <f>IF('Catálogo de Insumos'!$B46="","",IF('Catálogo de Insumos'!A46="","",'Catálogo de Insumos'!A46))</f>
        <v/>
      </c>
      <c r="B39" s="51" t="str">
        <f>IF('Catálogo de Insumos'!$B46="","",IF('Catálogo de Insumos'!B46="","",'Catálogo de Insumos'!B46))</f>
        <v/>
      </c>
      <c r="C39" s="52" t="str">
        <f>IF('Catálogo de Insumos'!$B46="","",IF('Catálogo de Insumos'!C46="","",'Catálogo de Insumos'!C46))</f>
        <v/>
      </c>
      <c r="D39" s="52" t="str">
        <f>IF('Catálogo de Insumos'!$B46="","",IF('Catálogo de Insumos'!Y46="","",'Catálogo de Insumos'!Y46))</f>
        <v/>
      </c>
      <c r="E39" s="53" t="str">
        <f>IF('Catálogo de Insumos'!$B46="","",IF('Catálogo de Insumos'!P46="","",'Catálogo de Insumos'!P46))</f>
        <v/>
      </c>
      <c r="F39" s="50" t="str">
        <f>IF('Catálogo de Insumos'!$B46="","",IF('Catálogo de Insumos'!R46="","",'Catálogo de Insumos'!R46))</f>
        <v/>
      </c>
      <c r="G39" s="50" t="str">
        <f>IF('Catálogo de Insumos'!$B46="","",IF('Catálogo de Insumos'!S46="","",'Catálogo de Insumos'!S46))</f>
        <v/>
      </c>
      <c r="H39" s="53" t="str">
        <f>IF('Catálogo de Insumos'!$B46="","",IF('Catálogo de Insumos'!T46="","",'Catálogo de Insumos'!T46))</f>
        <v/>
      </c>
      <c r="I39" s="53" t="str">
        <f>IF('Catálogo de Insumos'!$B46="","",IF('Catálogo de Insumos'!W46="","",'Catálogo de Insumos'!W46))</f>
        <v/>
      </c>
    </row>
    <row r="40" spans="1:9" ht="15" customHeight="1" x14ac:dyDescent="0.25">
      <c r="A40" s="54" t="str">
        <f>IF('Catálogo de Insumos'!$B47="","",IF('Catálogo de Insumos'!A47="","",'Catálogo de Insumos'!A47))</f>
        <v/>
      </c>
      <c r="B40" s="55" t="str">
        <f>IF('Catálogo de Insumos'!$B47="","",IF('Catálogo de Insumos'!B47="","",'Catálogo de Insumos'!B47))</f>
        <v/>
      </c>
      <c r="C40" s="56" t="str">
        <f>IF('Catálogo de Insumos'!$B47="","",IF('Catálogo de Insumos'!C47="","",'Catálogo de Insumos'!C47))</f>
        <v/>
      </c>
      <c r="D40" s="56" t="str">
        <f>IF('Catálogo de Insumos'!$B47="","",IF('Catálogo de Insumos'!Y47="","",'Catálogo de Insumos'!Y47))</f>
        <v/>
      </c>
      <c r="E40" s="57" t="str">
        <f>IF('Catálogo de Insumos'!$B47="","",IF('Catálogo de Insumos'!P47="","",'Catálogo de Insumos'!P47))</f>
        <v/>
      </c>
      <c r="F40" s="54" t="str">
        <f>IF('Catálogo de Insumos'!$B47="","",IF('Catálogo de Insumos'!R47="","",'Catálogo de Insumos'!R47))</f>
        <v/>
      </c>
      <c r="G40" s="54" t="str">
        <f>IF('Catálogo de Insumos'!$B47="","",IF('Catálogo de Insumos'!S47="","",'Catálogo de Insumos'!S47))</f>
        <v/>
      </c>
      <c r="H40" s="57" t="str">
        <f>IF('Catálogo de Insumos'!$B47="","",IF('Catálogo de Insumos'!T47="","",'Catálogo de Insumos'!T47))</f>
        <v/>
      </c>
      <c r="I40" s="57" t="str">
        <f>IF('Catálogo de Insumos'!$B47="","",IF('Catálogo de Insumos'!W47="","",'Catálogo de Insumos'!W47))</f>
        <v/>
      </c>
    </row>
    <row r="41" spans="1:9" ht="15" customHeight="1" x14ac:dyDescent="0.25">
      <c r="A41" s="50">
        <f>IF('Catálogo de Insumos'!$B48="","",IF('Catálogo de Insumos'!A48="","",'Catálogo de Insumos'!A48))</f>
        <v>37</v>
      </c>
      <c r="B41" s="51" t="str">
        <f>IF('Catálogo de Insumos'!$B48="","",IF('Catálogo de Insumos'!B48="","",'Catálogo de Insumos'!B48))</f>
        <v>Sierra bimetal 1" 4-6 E0,9</v>
      </c>
      <c r="C41" s="52" t="str">
        <f>IF('Catálogo de Insumos'!$B48="","",IF('Catálogo de Insumos'!C48="","",'Catálogo de Insumos'!C48))</f>
        <v>Rendimiento múltiple (herramienta)</v>
      </c>
      <c r="D41" s="52" t="str">
        <f>IF('Catálogo de Insumos'!$B48="","",IF('Catálogo de Insumos'!Y48="","",'Catálogo de Insumos'!Y48))</f>
        <v/>
      </c>
      <c r="E41" s="53" t="str">
        <f>IF('Catálogo de Insumos'!$B48="","",IF('Catálogo de Insumos'!P48="","",'Catálogo de Insumos'!P48))</f>
        <v>A</v>
      </c>
      <c r="F41" s="50">
        <f>IF('Catálogo de Insumos'!$B48="","",IF('Catálogo de Insumos'!R48="","",'Catálogo de Insumos'!R48))</f>
        <v>0</v>
      </c>
      <c r="G41" s="58">
        <f>IF('Catálogo de Insumos'!$B48="","",IF('Catálogo de Insumos'!S48="","",'Catálogo de Insumos'!S48))</f>
        <v>5</v>
      </c>
      <c r="H41" s="53" t="str">
        <f>IF('Catálogo de Insumos'!$B48="","",IF('Catálogo de Insumos'!T48="","",'Catálogo de Insumos'!T48))</f>
        <v>REPONER AHORA</v>
      </c>
      <c r="I41" s="53" t="str">
        <f ca="1">IF('Catálogo de Insumos'!$B48="","",IF('Catálogo de Insumos'!W48="","",'Catálogo de Insumos'!W48))</f>
        <v>FUERA DE VENTANA</v>
      </c>
    </row>
    <row r="42" spans="1:9" ht="15" customHeight="1" x14ac:dyDescent="0.25">
      <c r="A42" s="54">
        <f>IF('Catálogo de Insumos'!$B49="","",IF('Catálogo de Insumos'!A49="","",'Catálogo de Insumos'!A49))</f>
        <v>38</v>
      </c>
      <c r="B42" s="55" t="str">
        <f>IF('Catálogo de Insumos'!$B49="","",IF('Catálogo de Insumos'!B49="","",'Catálogo de Insumos'!B49))</f>
        <v>Sierra bimetal 1" 5-7 E0,9</v>
      </c>
      <c r="C42" s="56" t="str">
        <f>IF('Catálogo de Insumos'!$B49="","",IF('Catálogo de Insumos'!C49="","",'Catálogo de Insumos'!C49))</f>
        <v>Rendimiento múltiple (herramienta)</v>
      </c>
      <c r="D42" s="56" t="str">
        <f>IF('Catálogo de Insumos'!$B49="","",IF('Catálogo de Insumos'!Y49="","",'Catálogo de Insumos'!Y49))</f>
        <v/>
      </c>
      <c r="E42" s="57" t="str">
        <f>IF('Catálogo de Insumos'!$B49="","",IF('Catálogo de Insumos'!P49="","",'Catálogo de Insumos'!P49))</f>
        <v>A</v>
      </c>
      <c r="F42" s="54">
        <f>IF('Catálogo de Insumos'!$B49="","",IF('Catálogo de Insumos'!R49="","",'Catálogo de Insumos'!R49))</f>
        <v>0</v>
      </c>
      <c r="G42" s="59">
        <f>IF('Catálogo de Insumos'!$B49="","",IF('Catálogo de Insumos'!S49="","",'Catálogo de Insumos'!S49))</f>
        <v>2</v>
      </c>
      <c r="H42" s="57" t="str">
        <f>IF('Catálogo de Insumos'!$B49="","",IF('Catálogo de Insumos'!T49="","",'Catálogo de Insumos'!T49))</f>
        <v>REPONER AHORA</v>
      </c>
      <c r="I42" s="57" t="str">
        <f ca="1">IF('Catálogo de Insumos'!$B49="","",IF('Catálogo de Insumos'!W49="","",'Catálogo de Insumos'!W49))</f>
        <v>FUERA DE VENTANA</v>
      </c>
    </row>
    <row r="43" spans="1:9" ht="15" customHeight="1" x14ac:dyDescent="0.25">
      <c r="A43" s="50">
        <f>IF('Catálogo de Insumos'!$B50="","",IF('Catálogo de Insumos'!A50="","",'Catálogo de Insumos'!A50))</f>
        <v>39</v>
      </c>
      <c r="B43" s="51" t="str">
        <f>IF('Catálogo de Insumos'!$B50="","",IF('Catálogo de Insumos'!B50="","",'Catálogo de Insumos'!B50))</f>
        <v>Sierra bimetal 1" 3-4 E0,9</v>
      </c>
      <c r="C43" s="52" t="str">
        <f>IF('Catálogo de Insumos'!$B50="","",IF('Catálogo de Insumos'!C50="","",'Catálogo de Insumos'!C50))</f>
        <v>Rendimiento múltiple (herramienta)</v>
      </c>
      <c r="D43" s="52" t="str">
        <f>IF('Catálogo de Insumos'!$B50="","",IF('Catálogo de Insumos'!Y50="","",'Catálogo de Insumos'!Y50))</f>
        <v/>
      </c>
      <c r="E43" s="53" t="str">
        <f>IF('Catálogo de Insumos'!$B50="","",IF('Catálogo de Insumos'!P50="","",'Catálogo de Insumos'!P50))</f>
        <v>A</v>
      </c>
      <c r="F43" s="50">
        <f>IF('Catálogo de Insumos'!$B50="","",IF('Catálogo de Insumos'!R50="","",'Catálogo de Insumos'!R50))</f>
        <v>0</v>
      </c>
      <c r="G43" s="58">
        <f>IF('Catálogo de Insumos'!$B50="","",IF('Catálogo de Insumos'!S50="","",'Catálogo de Insumos'!S50))</f>
        <v>2</v>
      </c>
      <c r="H43" s="53" t="str">
        <f>IF('Catálogo de Insumos'!$B50="","",IF('Catálogo de Insumos'!T50="","",'Catálogo de Insumos'!T50))</f>
        <v>REPONER AHORA</v>
      </c>
      <c r="I43" s="53" t="str">
        <f ca="1">IF('Catálogo de Insumos'!$B50="","",IF('Catálogo de Insumos'!W50="","",'Catálogo de Insumos'!W50))</f>
        <v>FUERA DE VENTANA</v>
      </c>
    </row>
    <row r="44" spans="1:9" ht="15" customHeight="1" x14ac:dyDescent="0.25">
      <c r="A44" s="54">
        <f>IF('Catálogo de Insumos'!$B51="","",IF('Catálogo de Insumos'!A51="","",'Catálogo de Insumos'!A51))</f>
        <v>40</v>
      </c>
      <c r="B44" s="55" t="str">
        <f>IF('Catálogo de Insumos'!$B51="","",IF('Catálogo de Insumos'!B51="","",'Catálogo de Insumos'!B51))</f>
        <v>Correa motor A-37</v>
      </c>
      <c r="C44" s="56" t="str">
        <f>IF('Catálogo de Insumos'!$B51="","",IF('Catálogo de Insumos'!C51="","",'Catálogo de Insumos'!C51))</f>
        <v>Consumible de ensayo</v>
      </c>
      <c r="D44" s="56" t="str">
        <f>IF('Catálogo de Insumos'!$B51="","",IF('Catálogo de Insumos'!Y51="","",'Catálogo de Insumos'!Y51))</f>
        <v/>
      </c>
      <c r="E44" s="57" t="str">
        <f>IF('Catálogo de Insumos'!$B51="","",IF('Catálogo de Insumos'!P51="","",'Catálogo de Insumos'!P51))</f>
        <v/>
      </c>
      <c r="F44" s="54">
        <f>IF('Catálogo de Insumos'!$B51="","",IF('Catálogo de Insumos'!R51="","",'Catálogo de Insumos'!R51))</f>
        <v>0</v>
      </c>
      <c r="G44" s="54" t="str">
        <f>IF('Catálogo de Insumos'!$B51="","",IF('Catálogo de Insumos'!S51="","",'Catálogo de Insumos'!S51))</f>
        <v/>
      </c>
      <c r="H44" s="57" t="str">
        <f>IF('Catálogo de Insumos'!$B51="","",IF('Catálogo de Insumos'!T51="","",'Catálogo de Insumos'!T51))</f>
        <v/>
      </c>
      <c r="I44" s="57" t="str">
        <f>IF('Catálogo de Insumos'!$B51="","",IF('Catálogo de Insumos'!W51="","",'Catálogo de Insumos'!W51))</f>
        <v/>
      </c>
    </row>
    <row r="45" spans="1:9" ht="15" customHeight="1" x14ac:dyDescent="0.25">
      <c r="A45" s="50">
        <f>IF('Catálogo de Insumos'!$B52="","",IF('Catálogo de Insumos'!A52="","",'Catálogo de Insumos'!A52))</f>
        <v>41</v>
      </c>
      <c r="B45" s="51" t="str">
        <f>IF('Catálogo de Insumos'!$B52="","",IF('Catálogo de Insumos'!B52="","",'Catálogo de Insumos'!B52))</f>
        <v>Banda lija tela gr 100</v>
      </c>
      <c r="C45" s="52" t="str">
        <f>IF('Catálogo de Insumos'!$B52="","",IF('Catálogo de Insumos'!C52="","",'Catálogo de Insumos'!C52))</f>
        <v>Consumible de ensayo</v>
      </c>
      <c r="D45" s="52" t="str">
        <f>IF('Catálogo de Insumos'!$B52="","",IF('Catálogo de Insumos'!Y52="","",'Catálogo de Insumos'!Y52))</f>
        <v/>
      </c>
      <c r="E45" s="53" t="str">
        <f>IF('Catálogo de Insumos'!$B52="","",IF('Catálogo de Insumos'!P52="","",'Catálogo de Insumos'!P52))</f>
        <v>C</v>
      </c>
      <c r="F45" s="50">
        <f>IF('Catálogo de Insumos'!$B52="","",IF('Catálogo de Insumos'!R52="","",'Catálogo de Insumos'!R52))</f>
        <v>0</v>
      </c>
      <c r="G45" s="58">
        <f>IF('Catálogo de Insumos'!$B52="","",IF('Catálogo de Insumos'!S52="","",'Catálogo de Insumos'!S52))</f>
        <v>1</v>
      </c>
      <c r="H45" s="53" t="str">
        <f>IF('Catálogo de Insumos'!$B52="","",IF('Catálogo de Insumos'!T52="","",'Catálogo de Insumos'!T52))</f>
        <v>REPONER AHORA</v>
      </c>
      <c r="I45" s="53" t="str">
        <f ca="1">IF('Catálogo de Insumos'!$B52="","",IF('Catálogo de Insumos'!W52="","",'Catálogo de Insumos'!W52))</f>
        <v>FUERA DE VENTANA</v>
      </c>
    </row>
    <row r="46" spans="1:9" ht="15" customHeight="1" x14ac:dyDescent="0.25">
      <c r="A46" s="54">
        <f>IF('Catálogo de Insumos'!$B53="","",IF('Catálogo de Insumos'!A53="","",'Catálogo de Insumos'!A53))</f>
        <v>42</v>
      </c>
      <c r="B46" s="55" t="str">
        <f>IF('Catálogo de Insumos'!$B53="","",IF('Catálogo de Insumos'!B53="","",'Catálogo de Insumos'!B53))</f>
        <v>Banda lija tela gr 80</v>
      </c>
      <c r="C46" s="56" t="str">
        <f>IF('Catálogo de Insumos'!$B53="","",IF('Catálogo de Insumos'!C53="","",'Catálogo de Insumos'!C53))</f>
        <v>Consumible de ensayo</v>
      </c>
      <c r="D46" s="56" t="str">
        <f>IF('Catálogo de Insumos'!$B53="","",IF('Catálogo de Insumos'!Y53="","",'Catálogo de Insumos'!Y53))</f>
        <v/>
      </c>
      <c r="E46" s="57" t="str">
        <f>IF('Catálogo de Insumos'!$B53="","",IF('Catálogo de Insumos'!P53="","",'Catálogo de Insumos'!P53))</f>
        <v>C</v>
      </c>
      <c r="F46" s="54">
        <f>IF('Catálogo de Insumos'!$B53="","",IF('Catálogo de Insumos'!R53="","",'Catálogo de Insumos'!R53))</f>
        <v>0</v>
      </c>
      <c r="G46" s="59">
        <f>IF('Catálogo de Insumos'!$B53="","",IF('Catálogo de Insumos'!S53="","",'Catálogo de Insumos'!S53))</f>
        <v>1</v>
      </c>
      <c r="H46" s="57" t="str">
        <f>IF('Catálogo de Insumos'!$B53="","",IF('Catálogo de Insumos'!T53="","",'Catálogo de Insumos'!T53))</f>
        <v>REPONER AHORA</v>
      </c>
      <c r="I46" s="57" t="str">
        <f ca="1">IF('Catálogo de Insumos'!$B53="","",IF('Catálogo de Insumos'!W53="","",'Catálogo de Insumos'!W53))</f>
        <v>FUERA DE VENTANA</v>
      </c>
    </row>
    <row r="47" spans="1:9" ht="15" customHeight="1" x14ac:dyDescent="0.25">
      <c r="A47" s="50">
        <f>IF('Catálogo de Insumos'!$B54="","",IF('Catálogo de Insumos'!A54="","",'Catálogo de Insumos'!A54))</f>
        <v>43</v>
      </c>
      <c r="B47" s="51" t="str">
        <f>IF('Catálogo de Insumos'!$B54="","",IF('Catálogo de Insumos'!B54="","",'Catálogo de Insumos'!B54))</f>
        <v>Inserto RCMX 2006 Mitsubishi</v>
      </c>
      <c r="C47" s="52" t="str">
        <f>IF('Catálogo de Insumos'!$B54="","",IF('Catálogo de Insumos'!C54="","",'Catálogo de Insumos'!C54))</f>
        <v>Rendimiento múltiple (herramienta)</v>
      </c>
      <c r="D47" s="52" t="str">
        <f>IF('Catálogo de Insumos'!$B54="","",IF('Catálogo de Insumos'!Y54="","",'Catálogo de Insumos'!Y54))</f>
        <v/>
      </c>
      <c r="E47" s="53" t="str">
        <f>IF('Catálogo de Insumos'!$B54="","",IF('Catálogo de Insumos'!P54="","",'Catálogo de Insumos'!P54))</f>
        <v>C</v>
      </c>
      <c r="F47" s="50">
        <f>IF('Catálogo de Insumos'!$B54="","",IF('Catálogo de Insumos'!R54="","",'Catálogo de Insumos'!R54))</f>
        <v>0</v>
      </c>
      <c r="G47" s="58">
        <f>IF('Catálogo de Insumos'!$B54="","",IF('Catálogo de Insumos'!S54="","",'Catálogo de Insumos'!S54))</f>
        <v>1</v>
      </c>
      <c r="H47" s="53" t="str">
        <f>IF('Catálogo de Insumos'!$B54="","",IF('Catálogo de Insumos'!T54="","",'Catálogo de Insumos'!T54))</f>
        <v>REPONER AHORA</v>
      </c>
      <c r="I47" s="53" t="str">
        <f ca="1">IF('Catálogo de Insumos'!$B54="","",IF('Catálogo de Insumos'!W54="","",'Catálogo de Insumos'!W54))</f>
        <v>FUERA DE VENTANA</v>
      </c>
    </row>
    <row r="48" spans="1:9" ht="15" customHeight="1" x14ac:dyDescent="0.25">
      <c r="A48" s="54">
        <f>IF('Catálogo de Insumos'!$B55="","",IF('Catálogo de Insumos'!A55="","",'Catálogo de Insumos'!A55))</f>
        <v>44</v>
      </c>
      <c r="B48" s="55" t="str">
        <f>IF('Catálogo de Insumos'!$B55="","",IF('Catálogo de Insumos'!B55="","",'Catálogo de Insumos'!B55))</f>
        <v>Porta H ext WTJNR 2020K16</v>
      </c>
      <c r="C48" s="56" t="str">
        <f>IF('Catálogo de Insumos'!$B55="","",IF('Catálogo de Insumos'!C55="","",'Catálogo de Insumos'!C55))</f>
        <v>Rendimiento múltiple (herramienta)</v>
      </c>
      <c r="D48" s="56" t="str">
        <f>IF('Catálogo de Insumos'!$B55="","",IF('Catálogo de Insumos'!Y55="","",'Catálogo de Insumos'!Y55))</f>
        <v/>
      </c>
      <c r="E48" s="57" t="str">
        <f>IF('Catálogo de Insumos'!$B55="","",IF('Catálogo de Insumos'!P55="","",'Catálogo de Insumos'!P55))</f>
        <v/>
      </c>
      <c r="F48" s="54">
        <f>IF('Catálogo de Insumos'!$B55="","",IF('Catálogo de Insumos'!R55="","",'Catálogo de Insumos'!R55))</f>
        <v>0</v>
      </c>
      <c r="G48" s="54" t="str">
        <f>IF('Catálogo de Insumos'!$B55="","",IF('Catálogo de Insumos'!S55="","",'Catálogo de Insumos'!S55))</f>
        <v/>
      </c>
      <c r="H48" s="57" t="str">
        <f>IF('Catálogo de Insumos'!$B55="","",IF('Catálogo de Insumos'!T55="","",'Catálogo de Insumos'!T55))</f>
        <v/>
      </c>
      <c r="I48" s="57" t="str">
        <f>IF('Catálogo de Insumos'!$B55="","",IF('Catálogo de Insumos'!W55="","",'Catálogo de Insumos'!W55))</f>
        <v/>
      </c>
    </row>
    <row r="49" spans="1:9" ht="15" customHeight="1" x14ac:dyDescent="0.25">
      <c r="A49" s="50">
        <f>IF('Catálogo de Insumos'!$B56="","",IF('Catálogo de Insumos'!A56="","",'Catálogo de Insumos'!A56))</f>
        <v>45</v>
      </c>
      <c r="B49" s="51" t="str">
        <f>IF('Catálogo de Insumos'!$B56="","",IF('Catálogo de Insumos'!B56="","",'Catálogo de Insumos'!B56))</f>
        <v>Repuesto placa base M1603</v>
      </c>
      <c r="C49" s="52" t="str">
        <f>IF('Catálogo de Insumos'!$B56="","",IF('Catálogo de Insumos'!C56="","",'Catálogo de Insumos'!C56))</f>
        <v>Consumible de ensayo</v>
      </c>
      <c r="D49" s="52" t="str">
        <f>IF('Catálogo de Insumos'!$B56="","",IF('Catálogo de Insumos'!Y56="","",'Catálogo de Insumos'!Y56))</f>
        <v/>
      </c>
      <c r="E49" s="53" t="str">
        <f>IF('Catálogo de Insumos'!$B56="","",IF('Catálogo de Insumos'!P56="","",'Catálogo de Insumos'!P56))</f>
        <v/>
      </c>
      <c r="F49" s="50">
        <f>IF('Catálogo de Insumos'!$B56="","",IF('Catálogo de Insumos'!R56="","",'Catálogo de Insumos'!R56))</f>
        <v>0</v>
      </c>
      <c r="G49" s="50" t="str">
        <f>IF('Catálogo de Insumos'!$B56="","",IF('Catálogo de Insumos'!S56="","",'Catálogo de Insumos'!S56))</f>
        <v/>
      </c>
      <c r="H49" s="53" t="str">
        <f>IF('Catálogo de Insumos'!$B56="","",IF('Catálogo de Insumos'!T56="","",'Catálogo de Insumos'!T56))</f>
        <v/>
      </c>
      <c r="I49" s="53" t="str">
        <f>IF('Catálogo de Insumos'!$B56="","",IF('Catálogo de Insumos'!W56="","",'Catálogo de Insumos'!W56))</f>
        <v/>
      </c>
    </row>
    <row r="50" spans="1:9" ht="15" customHeight="1" x14ac:dyDescent="0.25">
      <c r="A50" s="54">
        <f>IF('Catálogo de Insumos'!$B57="","",IF('Catálogo de Insumos'!A57="","",'Catálogo de Insumos'!A57))</f>
        <v>46</v>
      </c>
      <c r="B50" s="55" t="str">
        <f>IF('Catálogo de Insumos'!$B57="","",IF('Catálogo de Insumos'!B57="","",'Catálogo de Insumos'!B57))</f>
        <v>Inserto APKT 160408 PH792</v>
      </c>
      <c r="C50" s="56" t="str">
        <f>IF('Catálogo de Insumos'!$B57="","",IF('Catálogo de Insumos'!C57="","",'Catálogo de Insumos'!C57))</f>
        <v>Rendimiento múltiple (herramienta)</v>
      </c>
      <c r="D50" s="56" t="str">
        <f>IF('Catálogo de Insumos'!$B57="","",IF('Catálogo de Insumos'!Y57="","",'Catálogo de Insumos'!Y57))</f>
        <v/>
      </c>
      <c r="E50" s="57" t="str">
        <f>IF('Catálogo de Insumos'!$B57="","",IF('Catálogo de Insumos'!P57="","",'Catálogo de Insumos'!P57))</f>
        <v>B</v>
      </c>
      <c r="F50" s="54">
        <f>IF('Catálogo de Insumos'!$B57="","",IF('Catálogo de Insumos'!R57="","",'Catálogo de Insumos'!R57))</f>
        <v>0</v>
      </c>
      <c r="G50" s="59">
        <f>IF('Catálogo de Insumos'!$B57="","",IF('Catálogo de Insumos'!S57="","",'Catálogo de Insumos'!S57))</f>
        <v>6</v>
      </c>
      <c r="H50" s="57" t="str">
        <f>IF('Catálogo de Insumos'!$B57="","",IF('Catálogo de Insumos'!T57="","",'Catálogo de Insumos'!T57))</f>
        <v>REPONER AHORA</v>
      </c>
      <c r="I50" s="57" t="str">
        <f ca="1">IF('Catálogo de Insumos'!$B57="","",IF('Catálogo de Insumos'!W57="","",'Catálogo de Insumos'!W57))</f>
        <v>FUERA DE VENTANA</v>
      </c>
    </row>
    <row r="51" spans="1:9" ht="15" customHeight="1" x14ac:dyDescent="0.25">
      <c r="A51" s="50">
        <f>IF('Catálogo de Insumos'!$B58="","",IF('Catálogo de Insumos'!A58="","",'Catálogo de Insumos'!A58))</f>
        <v>47</v>
      </c>
      <c r="B51" s="51" t="str">
        <f>IF('Catálogo de Insumos'!$B58="","",IF('Catálogo de Insumos'!B58="","",'Catálogo de Insumos'!B58))</f>
        <v>Porta H int S25-MTUNR16AW</v>
      </c>
      <c r="C51" s="52" t="str">
        <f>IF('Catálogo de Insumos'!$B58="","",IF('Catálogo de Insumos'!C58="","",'Catálogo de Insumos'!C58))</f>
        <v>Rendimiento múltiple (herramienta)</v>
      </c>
      <c r="D51" s="52" t="str">
        <f>IF('Catálogo de Insumos'!$B58="","",IF('Catálogo de Insumos'!Y58="","",'Catálogo de Insumos'!Y58))</f>
        <v/>
      </c>
      <c r="E51" s="53" t="str">
        <f>IF('Catálogo de Insumos'!$B58="","",IF('Catálogo de Insumos'!P58="","",'Catálogo de Insumos'!P58))</f>
        <v/>
      </c>
      <c r="F51" s="50">
        <f>IF('Catálogo de Insumos'!$B58="","",IF('Catálogo de Insumos'!R58="","",'Catálogo de Insumos'!R58))</f>
        <v>0</v>
      </c>
      <c r="G51" s="50" t="str">
        <f>IF('Catálogo de Insumos'!$B58="","",IF('Catálogo de Insumos'!S58="","",'Catálogo de Insumos'!S58))</f>
        <v/>
      </c>
      <c r="H51" s="53" t="str">
        <f>IF('Catálogo de Insumos'!$B58="","",IF('Catálogo de Insumos'!T58="","",'Catálogo de Insumos'!T58))</f>
        <v/>
      </c>
      <c r="I51" s="53" t="str">
        <f>IF('Catálogo de Insumos'!$B58="","",IF('Catálogo de Insumos'!W58="","",'Catálogo de Insumos'!W58))</f>
        <v/>
      </c>
    </row>
    <row r="52" spans="1:9" ht="15" customHeight="1" x14ac:dyDescent="0.25">
      <c r="A52" s="54">
        <f>IF('Catálogo de Insumos'!$B59="","",IF('Catálogo de Insumos'!A59="","",'Catálogo de Insumos'!A59))</f>
        <v>48</v>
      </c>
      <c r="B52" s="55" t="str">
        <f>IF('Catálogo de Insumos'!$B59="","",IF('Catálogo de Insumos'!B59="","",'Catálogo de Insumos'!B59))</f>
        <v>Inserto TNMG 160408-MA MI</v>
      </c>
      <c r="C52" s="56" t="str">
        <f>IF('Catálogo de Insumos'!$B59="","",IF('Catálogo de Insumos'!C59="","",'Catálogo de Insumos'!C59))</f>
        <v>Rendimiento múltiple (herramienta)</v>
      </c>
      <c r="D52" s="56" t="str">
        <f>IF('Catálogo de Insumos'!$B59="","",IF('Catálogo de Insumos'!Y59="","",'Catálogo de Insumos'!Y59))</f>
        <v/>
      </c>
      <c r="E52" s="57" t="str">
        <f>IF('Catálogo de Insumos'!$B59="","",IF('Catálogo de Insumos'!P59="","",'Catálogo de Insumos'!P59))</f>
        <v>C</v>
      </c>
      <c r="F52" s="54">
        <f>IF('Catálogo de Insumos'!$B59="","",IF('Catálogo de Insumos'!R59="","",'Catálogo de Insumos'!R59))</f>
        <v>0</v>
      </c>
      <c r="G52" s="59">
        <f>IF('Catálogo de Insumos'!$B59="","",IF('Catálogo de Insumos'!S59="","",'Catálogo de Insumos'!S59))</f>
        <v>1</v>
      </c>
      <c r="H52" s="57" t="str">
        <f>IF('Catálogo de Insumos'!$B59="","",IF('Catálogo de Insumos'!T59="","",'Catálogo de Insumos'!T59))</f>
        <v>REPONER AHORA</v>
      </c>
      <c r="I52" s="57" t="str">
        <f ca="1">IF('Catálogo de Insumos'!$B59="","",IF('Catálogo de Insumos'!W59="","",'Catálogo de Insumos'!W59))</f>
        <v>FUERA DE VENTANA</v>
      </c>
    </row>
    <row r="53" spans="1:9" ht="15" customHeight="1" x14ac:dyDescent="0.25">
      <c r="A53" s="50">
        <f>IF('Catálogo de Insumos'!$B60="","",IF('Catálogo de Insumos'!A60="","",'Catálogo de Insumos'!A60))</f>
        <v>49</v>
      </c>
      <c r="B53" s="51" t="str">
        <f>IF('Catálogo de Insumos'!$B60="","",IF('Catálogo de Insumos'!B60="","",'Catálogo de Insumos'!B60))</f>
        <v>Inserto fresa SNHX 1206PH</v>
      </c>
      <c r="C53" s="52" t="str">
        <f>IF('Catálogo de Insumos'!$B60="","",IF('Catálogo de Insumos'!C60="","",'Catálogo de Insumos'!C60))</f>
        <v>Rendimiento múltiple (herramienta)</v>
      </c>
      <c r="D53" s="52" t="str">
        <f>IF('Catálogo de Insumos'!$B60="","",IF('Catálogo de Insumos'!Y60="","",'Catálogo de Insumos'!Y60))</f>
        <v/>
      </c>
      <c r="E53" s="53" t="str">
        <f>IF('Catálogo de Insumos'!$B60="","",IF('Catálogo de Insumos'!P60="","",'Catálogo de Insumos'!P60))</f>
        <v>B</v>
      </c>
      <c r="F53" s="50">
        <f>IF('Catálogo de Insumos'!$B60="","",IF('Catálogo de Insumos'!R60="","",'Catálogo de Insumos'!R60))</f>
        <v>0</v>
      </c>
      <c r="G53" s="58">
        <f>IF('Catálogo de Insumos'!$B60="","",IF('Catálogo de Insumos'!S60="","",'Catálogo de Insumos'!S60))</f>
        <v>4</v>
      </c>
      <c r="H53" s="53" t="str">
        <f>IF('Catálogo de Insumos'!$B60="","",IF('Catálogo de Insumos'!T60="","",'Catálogo de Insumos'!T60))</f>
        <v>REPONER AHORA</v>
      </c>
      <c r="I53" s="53" t="str">
        <f ca="1">IF('Catálogo de Insumos'!$B60="","",IF('Catálogo de Insumos'!W60="","",'Catálogo de Insumos'!W60))</f>
        <v>FUERA DE VENTANA</v>
      </c>
    </row>
    <row r="54" spans="1:9" ht="15" customHeight="1" x14ac:dyDescent="0.25">
      <c r="A54" s="54">
        <f>IF('Catálogo de Insumos'!$B61="","",IF('Catálogo de Insumos'!A61="","",'Catálogo de Insumos'!A61))</f>
        <v>50</v>
      </c>
      <c r="B54" s="55" t="str">
        <f>IF('Catálogo de Insumos'!$B61="","",IF('Catálogo de Insumos'!B61="","",'Catálogo de Insumos'!B61))</f>
        <v>Inserto torno TNMG 160404</v>
      </c>
      <c r="C54" s="56" t="str">
        <f>IF('Catálogo de Insumos'!$B61="","",IF('Catálogo de Insumos'!C61="","",'Catálogo de Insumos'!C61))</f>
        <v>Rendimiento múltiple (herramienta)</v>
      </c>
      <c r="D54" s="56" t="str">
        <f>IF('Catálogo de Insumos'!$B61="","",IF('Catálogo de Insumos'!Y61="","",'Catálogo de Insumos'!Y61))</f>
        <v/>
      </c>
      <c r="E54" s="57" t="str">
        <f>IF('Catálogo de Insumos'!$B61="","",IF('Catálogo de Insumos'!P61="","",'Catálogo de Insumos'!P61))</f>
        <v>C</v>
      </c>
      <c r="F54" s="54">
        <f>IF('Catálogo de Insumos'!$B61="","",IF('Catálogo de Insumos'!R61="","",'Catálogo de Insumos'!R61))</f>
        <v>0</v>
      </c>
      <c r="G54" s="59">
        <f>IF('Catálogo de Insumos'!$B61="","",IF('Catálogo de Insumos'!S61="","",'Catálogo de Insumos'!S61))</f>
        <v>1</v>
      </c>
      <c r="H54" s="57" t="str">
        <f>IF('Catálogo de Insumos'!$B61="","",IF('Catálogo de Insumos'!T61="","",'Catálogo de Insumos'!T61))</f>
        <v>REPONER AHORA</v>
      </c>
      <c r="I54" s="57" t="str">
        <f ca="1">IF('Catálogo de Insumos'!$B61="","",IF('Catálogo de Insumos'!W61="","",'Catálogo de Insumos'!W61))</f>
        <v>FUERA DE VENTANA</v>
      </c>
    </row>
    <row r="55" spans="1:9" ht="15" customHeight="1" x14ac:dyDescent="0.25">
      <c r="A55" s="50">
        <f>IF('Catálogo de Insumos'!$B62="","",IF('Catálogo de Insumos'!A62="","",'Catálogo de Insumos'!A62))</f>
        <v>51</v>
      </c>
      <c r="B55" s="51" t="str">
        <f>IF('Catálogo de Insumos'!$B62="","",IF('Catálogo de Insumos'!B62="","",'Catálogo de Insumos'!B62))</f>
        <v>Inserto TNMG 100404-MS-NF</v>
      </c>
      <c r="C55" s="52" t="str">
        <f>IF('Catálogo de Insumos'!$B62="","",IF('Catálogo de Insumos'!C62="","",'Catálogo de Insumos'!C62))</f>
        <v>Rendimiento múltiple (herramienta)</v>
      </c>
      <c r="D55" s="52" t="str">
        <f>IF('Catálogo de Insumos'!$B62="","",IF('Catálogo de Insumos'!Y62="","",'Catálogo de Insumos'!Y62))</f>
        <v/>
      </c>
      <c r="E55" s="53" t="str">
        <f>IF('Catálogo de Insumos'!$B62="","",IF('Catálogo de Insumos'!P62="","",'Catálogo de Insumos'!P62))</f>
        <v>C</v>
      </c>
      <c r="F55" s="50">
        <f>IF('Catálogo de Insumos'!$B62="","",IF('Catálogo de Insumos'!R62="","",'Catálogo de Insumos'!R62))</f>
        <v>0</v>
      </c>
      <c r="G55" s="58">
        <f>IF('Catálogo de Insumos'!$B62="","",IF('Catálogo de Insumos'!S62="","",'Catálogo de Insumos'!S62))</f>
        <v>1</v>
      </c>
      <c r="H55" s="53" t="str">
        <f>IF('Catálogo de Insumos'!$B62="","",IF('Catálogo de Insumos'!T62="","",'Catálogo de Insumos'!T62))</f>
        <v>REPONER AHORA</v>
      </c>
      <c r="I55" s="53" t="str">
        <f ca="1">IF('Catálogo de Insumos'!$B62="","",IF('Catálogo de Insumos'!W62="","",'Catálogo de Insumos'!W62))</f>
        <v>FUERA DE VENTANA</v>
      </c>
    </row>
    <row r="56" spans="1:9" ht="15" customHeight="1" x14ac:dyDescent="0.25">
      <c r="A56" s="54">
        <f>IF('Catálogo de Insumos'!$B63="","",IF('Catálogo de Insumos'!A63="","",'Catálogo de Insumos'!A63))</f>
        <v>52</v>
      </c>
      <c r="B56" s="55" t="str">
        <f>IF('Catálogo de Insumos'!$B63="","",IF('Catálogo de Insumos'!B63="","",'Catálogo de Insumos'!B63))</f>
        <v>Mantención placas electrónicas (EDM)</v>
      </c>
      <c r="C56" s="56" t="str">
        <f>IF('Catálogo de Insumos'!$B63="","",IF('Catálogo de Insumos'!C63="","",'Catálogo de Insumos'!C63))</f>
        <v>Consumible de ensayo</v>
      </c>
      <c r="D56" s="56" t="str">
        <f>IF('Catálogo de Insumos'!$B63="","",IF('Catálogo de Insumos'!Y63="","",'Catálogo de Insumos'!Y63))</f>
        <v/>
      </c>
      <c r="E56" s="57" t="str">
        <f>IF('Catálogo de Insumos'!$B63="","",IF('Catálogo de Insumos'!P63="","",'Catálogo de Insumos'!P63))</f>
        <v/>
      </c>
      <c r="F56" s="54">
        <f>IF('Catálogo de Insumos'!$B63="","",IF('Catálogo de Insumos'!R63="","",'Catálogo de Insumos'!R63))</f>
        <v>0</v>
      </c>
      <c r="G56" s="54" t="str">
        <f>IF('Catálogo de Insumos'!$B63="","",IF('Catálogo de Insumos'!S63="","",'Catálogo de Insumos'!S63))</f>
        <v/>
      </c>
      <c r="H56" s="57" t="str">
        <f>IF('Catálogo de Insumos'!$B63="","",IF('Catálogo de Insumos'!T63="","",'Catálogo de Insumos'!T63))</f>
        <v/>
      </c>
      <c r="I56" s="57" t="str">
        <f>IF('Catálogo de Insumos'!$B63="","",IF('Catálogo de Insumos'!W63="","",'Catálogo de Insumos'!W63))</f>
        <v/>
      </c>
    </row>
    <row r="57" spans="1:9" ht="15" customHeight="1" x14ac:dyDescent="0.25">
      <c r="A57" s="50">
        <f>IF('Catálogo de Insumos'!$B64="","",IF('Catálogo de Insumos'!A64="","",'Catálogo de Insumos'!A64))</f>
        <v>53</v>
      </c>
      <c r="B57" s="51" t="str">
        <f>IF('Catálogo de Insumos'!$B64="","",IF('Catálogo de Insumos'!B64="","",'Catálogo de Insumos'!B64))</f>
        <v>Mantención cable bomba de agua (EDM)</v>
      </c>
      <c r="C57" s="52" t="str">
        <f>IF('Catálogo de Insumos'!$B64="","",IF('Catálogo de Insumos'!C64="","",'Catálogo de Insumos'!C64))</f>
        <v>Consumible de ensayo</v>
      </c>
      <c r="D57" s="52" t="str">
        <f>IF('Catálogo de Insumos'!$B64="","",IF('Catálogo de Insumos'!Y64="","",'Catálogo de Insumos'!Y64))</f>
        <v/>
      </c>
      <c r="E57" s="53" t="str">
        <f>IF('Catálogo de Insumos'!$B64="","",IF('Catálogo de Insumos'!P64="","",'Catálogo de Insumos'!P64))</f>
        <v/>
      </c>
      <c r="F57" s="50">
        <f>IF('Catálogo de Insumos'!$B64="","",IF('Catálogo de Insumos'!R64="","",'Catálogo de Insumos'!R64))</f>
        <v>0</v>
      </c>
      <c r="G57" s="50" t="str">
        <f>IF('Catálogo de Insumos'!$B64="","",IF('Catálogo de Insumos'!S64="","",'Catálogo de Insumos'!S64))</f>
        <v/>
      </c>
      <c r="H57" s="53" t="str">
        <f>IF('Catálogo de Insumos'!$B64="","",IF('Catálogo de Insumos'!T64="","",'Catálogo de Insumos'!T64))</f>
        <v/>
      </c>
      <c r="I57" s="53" t="str">
        <f>IF('Catálogo de Insumos'!$B64="","",IF('Catálogo de Insumos'!W64="","",'Catálogo de Insumos'!W64))</f>
        <v/>
      </c>
    </row>
    <row r="58" spans="1:9" ht="15" customHeight="1" x14ac:dyDescent="0.25">
      <c r="A58" s="54">
        <f>IF('Catálogo de Insumos'!$B65="","",IF('Catálogo de Insumos'!A65="","",'Catálogo de Insumos'!A65))</f>
        <v>54</v>
      </c>
      <c r="B58" s="55" t="str">
        <f>IF('Catálogo de Insumos'!$B65="","",IF('Catálogo de Insumos'!B65="","",'Catálogo de Insumos'!B65))</f>
        <v>Cable original bomba AR (EDM)</v>
      </c>
      <c r="C58" s="56" t="str">
        <f>IF('Catálogo de Insumos'!$B65="","",IF('Catálogo de Insumos'!C65="","",'Catálogo de Insumos'!C65))</f>
        <v>Consumible de ensayo</v>
      </c>
      <c r="D58" s="56" t="str">
        <f>IF('Catálogo de Insumos'!$B65="","",IF('Catálogo de Insumos'!Y65="","",'Catálogo de Insumos'!Y65))</f>
        <v/>
      </c>
      <c r="E58" s="57" t="str">
        <f>IF('Catálogo de Insumos'!$B65="","",IF('Catálogo de Insumos'!P65="","",'Catálogo de Insumos'!P65))</f>
        <v/>
      </c>
      <c r="F58" s="54">
        <f>IF('Catálogo de Insumos'!$B65="","",IF('Catálogo de Insumos'!R65="","",'Catálogo de Insumos'!R65))</f>
        <v>0</v>
      </c>
      <c r="G58" s="54" t="str">
        <f>IF('Catálogo de Insumos'!$B65="","",IF('Catálogo de Insumos'!S65="","",'Catálogo de Insumos'!S65))</f>
        <v/>
      </c>
      <c r="H58" s="57" t="str">
        <f>IF('Catálogo de Insumos'!$B65="","",IF('Catálogo de Insumos'!T65="","",'Catálogo de Insumos'!T65))</f>
        <v/>
      </c>
      <c r="I58" s="57" t="str">
        <f>IF('Catálogo de Insumos'!$B65="","",IF('Catálogo de Insumos'!W65="","",'Catálogo de Insumos'!W65))</f>
        <v/>
      </c>
    </row>
    <row r="59" spans="1:9" ht="15" customHeight="1" x14ac:dyDescent="0.25">
      <c r="A59" s="50">
        <f>IF('Catálogo de Insumos'!$B66="","",IF('Catálogo de Insumos'!A66="","",'Catálogo de Insumos'!A66))</f>
        <v>55</v>
      </c>
      <c r="B59" s="51" t="str">
        <f>IF('Catálogo de Insumos'!$B66="","",IF('Catálogo de Insumos'!B66="","",'Catálogo de Insumos'!B66))</f>
        <v>Rodamiento polea AR (EDM)</v>
      </c>
      <c r="C59" s="52" t="str">
        <f>IF('Catálogo de Insumos'!$B66="","",IF('Catálogo de Insumos'!C66="","",'Catálogo de Insumos'!C66))</f>
        <v>Rendimiento múltiple (herramienta)</v>
      </c>
      <c r="D59" s="52" t="str">
        <f>IF('Catálogo de Insumos'!$B66="","",IF('Catálogo de Insumos'!Y66="","",'Catálogo de Insumos'!Y66))</f>
        <v/>
      </c>
      <c r="E59" s="53" t="str">
        <f>IF('Catálogo de Insumos'!$B66="","",IF('Catálogo de Insumos'!P66="","",'Catálogo de Insumos'!P66))</f>
        <v/>
      </c>
      <c r="F59" s="50">
        <f>IF('Catálogo de Insumos'!$B66="","",IF('Catálogo de Insumos'!R66="","",'Catálogo de Insumos'!R66))</f>
        <v>0</v>
      </c>
      <c r="G59" s="50" t="str">
        <f>IF('Catálogo de Insumos'!$B66="","",IF('Catálogo de Insumos'!S66="","",'Catálogo de Insumos'!S66))</f>
        <v/>
      </c>
      <c r="H59" s="53" t="str">
        <f>IF('Catálogo de Insumos'!$B66="","",IF('Catálogo de Insumos'!T66="","",'Catálogo de Insumos'!T66))</f>
        <v/>
      </c>
      <c r="I59" s="53" t="str">
        <f>IF('Catálogo de Insumos'!$B66="","",IF('Catálogo de Insumos'!W66="","",'Catálogo de Insumos'!W66))</f>
        <v/>
      </c>
    </row>
    <row r="60" spans="1:9" ht="15" customHeight="1" x14ac:dyDescent="0.25">
      <c r="A60" s="54">
        <f>IF('Catálogo de Insumos'!$B67="","",IF('Catálogo de Insumos'!A67="","",'Catálogo de Insumos'!A67))</f>
        <v>56</v>
      </c>
      <c r="B60" s="55" t="str">
        <f>IF('Catálogo de Insumos'!$B67="","",IF('Catálogo de Insumos'!B67="","",'Catálogo de Insumos'!B67))</f>
        <v>Filtro AR (EDM)</v>
      </c>
      <c r="C60" s="56" t="str">
        <f>IF('Catálogo de Insumos'!$B67="","",IF('Catálogo de Insumos'!C67="","",'Catálogo de Insumos'!C67))</f>
        <v>Consumible de ensayo</v>
      </c>
      <c r="D60" s="56" t="str">
        <f>IF('Catálogo de Insumos'!$B67="","",IF('Catálogo de Insumos'!Y67="","",'Catálogo de Insumos'!Y67))</f>
        <v/>
      </c>
      <c r="E60" s="57" t="str">
        <f>IF('Catálogo de Insumos'!$B67="","",IF('Catálogo de Insumos'!P67="","",'Catálogo de Insumos'!P67))</f>
        <v/>
      </c>
      <c r="F60" s="54">
        <f>IF('Catálogo de Insumos'!$B67="","",IF('Catálogo de Insumos'!R67="","",'Catálogo de Insumos'!R67))</f>
        <v>0</v>
      </c>
      <c r="G60" s="54" t="str">
        <f>IF('Catálogo de Insumos'!$B67="","",IF('Catálogo de Insumos'!S67="","",'Catálogo de Insumos'!S67))</f>
        <v/>
      </c>
      <c r="H60" s="57" t="str">
        <f>IF('Catálogo de Insumos'!$B67="","",IF('Catálogo de Insumos'!T67="","",'Catálogo de Insumos'!T67))</f>
        <v/>
      </c>
      <c r="I60" s="57" t="str">
        <f>IF('Catálogo de Insumos'!$B67="","",IF('Catálogo de Insumos'!W67="","",'Catálogo de Insumos'!W67))</f>
        <v/>
      </c>
    </row>
    <row r="61" spans="1:9" ht="15" customHeight="1" x14ac:dyDescent="0.25">
      <c r="A61" s="50">
        <f>IF('Catálogo de Insumos'!$B68="","",IF('Catálogo de Insumos'!A68="","",'Catálogo de Insumos'!A68))</f>
        <v>57</v>
      </c>
      <c r="B61" s="51" t="str">
        <f>IF('Catálogo de Insumos'!$B68="","",IF('Catálogo de Insumos'!B68="","",'Catálogo de Insumos'!B68))</f>
        <v>Hilo molibdeno 0,18 mm (EDM)</v>
      </c>
      <c r="C61" s="52" t="str">
        <f>IF('Catálogo de Insumos'!$B68="","",IF('Catálogo de Insumos'!C68="","",'Catálogo de Insumos'!C68))</f>
        <v>Consumible de ensayo</v>
      </c>
      <c r="D61" s="52" t="str">
        <f>IF('Catálogo de Insumos'!$B68="","",IF('Catálogo de Insumos'!Y68="","",'Catálogo de Insumos'!Y68))</f>
        <v/>
      </c>
      <c r="E61" s="53" t="str">
        <f>IF('Catálogo de Insumos'!$B68="","",IF('Catálogo de Insumos'!P68="","",'Catálogo de Insumos'!P68))</f>
        <v/>
      </c>
      <c r="F61" s="50">
        <f>IF('Catálogo de Insumos'!$B68="","",IF('Catálogo de Insumos'!R68="","",'Catálogo de Insumos'!R68))</f>
        <v>0</v>
      </c>
      <c r="G61" s="50" t="str">
        <f>IF('Catálogo de Insumos'!$B68="","",IF('Catálogo de Insumos'!S68="","",'Catálogo de Insumos'!S68))</f>
        <v/>
      </c>
      <c r="H61" s="53" t="str">
        <f>IF('Catálogo de Insumos'!$B68="","",IF('Catálogo de Insumos'!T68="","",'Catálogo de Insumos'!T68))</f>
        <v/>
      </c>
      <c r="I61" s="53" t="str">
        <f>IF('Catálogo de Insumos'!$B68="","",IF('Catálogo de Insumos'!W68="","",'Catálogo de Insumos'!W68))</f>
        <v/>
      </c>
    </row>
    <row r="62" spans="1:9" ht="15" customHeight="1" x14ac:dyDescent="0.25">
      <c r="A62" s="54">
        <f>IF('Catálogo de Insumos'!$B69="","",IF('Catálogo de Insumos'!A69="","",'Catálogo de Insumos'!A69))</f>
        <v>58</v>
      </c>
      <c r="B62" s="55" t="str">
        <f>IF('Catálogo de Insumos'!$B69="","",IF('Catálogo de Insumos'!B69="","",'Catálogo de Insumos'!B69))</f>
        <v>Emulsión dieléctrica AR (EDM)</v>
      </c>
      <c r="C62" s="56" t="str">
        <f>IF('Catálogo de Insumos'!$B69="","",IF('Catálogo de Insumos'!C69="","",'Catálogo de Insumos'!C69))</f>
        <v>Consumible de ensayo</v>
      </c>
      <c r="D62" s="56" t="str">
        <f>IF('Catálogo de Insumos'!$B69="","",IF('Catálogo de Insumos'!Y69="","",'Catálogo de Insumos'!Y69))</f>
        <v/>
      </c>
      <c r="E62" s="57" t="str">
        <f>IF('Catálogo de Insumos'!$B69="","",IF('Catálogo de Insumos'!P69="","",'Catálogo de Insumos'!P69))</f>
        <v/>
      </c>
      <c r="F62" s="54">
        <f>IF('Catálogo de Insumos'!$B69="","",IF('Catálogo de Insumos'!R69="","",'Catálogo de Insumos'!R69))</f>
        <v>0</v>
      </c>
      <c r="G62" s="54" t="str">
        <f>IF('Catálogo de Insumos'!$B69="","",IF('Catálogo de Insumos'!S69="","",'Catálogo de Insumos'!S69))</f>
        <v/>
      </c>
      <c r="H62" s="57" t="str">
        <f>IF('Catálogo de Insumos'!$B69="","",IF('Catálogo de Insumos'!T69="","",'Catálogo de Insumos'!T69))</f>
        <v/>
      </c>
      <c r="I62" s="57" t="str">
        <f>IF('Catálogo de Insumos'!$B69="","",IF('Catálogo de Insumos'!W69="","",'Catálogo de Insumos'!W69))</f>
        <v/>
      </c>
    </row>
    <row r="63" spans="1:9" ht="15" customHeight="1" x14ac:dyDescent="0.25">
      <c r="A63" s="50">
        <f>IF('Catálogo de Insumos'!$B70="","",IF('Catálogo de Insumos'!A70="","",'Catálogo de Insumos'!A70))</f>
        <v>59</v>
      </c>
      <c r="B63" s="51" t="str">
        <f>IF('Catálogo de Insumos'!$B70="","",IF('Catálogo de Insumos'!B70="","",'Catálogo de Insumos'!B70))</f>
        <v>Cable de masa (EDM)</v>
      </c>
      <c r="C63" s="52" t="str">
        <f>IF('Catálogo de Insumos'!$B70="","",IF('Catálogo de Insumos'!C70="","",'Catálogo de Insumos'!C70))</f>
        <v>Consumible de ensayo</v>
      </c>
      <c r="D63" s="52" t="str">
        <f>IF('Catálogo de Insumos'!$B70="","",IF('Catálogo de Insumos'!Y70="","",'Catálogo de Insumos'!Y70))</f>
        <v/>
      </c>
      <c r="E63" s="53" t="str">
        <f>IF('Catálogo de Insumos'!$B70="","",IF('Catálogo de Insumos'!P70="","",'Catálogo de Insumos'!P70))</f>
        <v/>
      </c>
      <c r="F63" s="50">
        <f>IF('Catálogo de Insumos'!$B70="","",IF('Catálogo de Insumos'!R70="","",'Catálogo de Insumos'!R70))</f>
        <v>0</v>
      </c>
      <c r="G63" s="50" t="str">
        <f>IF('Catálogo de Insumos'!$B70="","",IF('Catálogo de Insumos'!S70="","",'Catálogo de Insumos'!S70))</f>
        <v/>
      </c>
      <c r="H63" s="53" t="str">
        <f>IF('Catálogo de Insumos'!$B70="","",IF('Catálogo de Insumos'!T70="","",'Catálogo de Insumos'!T70))</f>
        <v/>
      </c>
      <c r="I63" s="53" t="str">
        <f>IF('Catálogo de Insumos'!$B70="","",IF('Catálogo de Insumos'!W70="","",'Catálogo de Insumos'!W70))</f>
        <v/>
      </c>
    </row>
    <row r="64" spans="1:9" ht="15" customHeight="1" x14ac:dyDescent="0.25">
      <c r="A64" s="54">
        <f>IF('Catálogo de Insumos'!$B71="","",IF('Catálogo de Insumos'!A71="","",'Catálogo de Insumos'!A71))</f>
        <v>60</v>
      </c>
      <c r="B64" s="55" t="str">
        <f>IF('Catálogo de Insumos'!$B71="","",IF('Catálogo de Insumos'!B71="","",'Catálogo de Insumos'!B71))</f>
        <v>Sensor hilo roto AR (EDM)</v>
      </c>
      <c r="C64" s="56" t="str">
        <f>IF('Catálogo de Insumos'!$B71="","",IF('Catálogo de Insumos'!C71="","",'Catálogo de Insumos'!C71))</f>
        <v>Consumible de ensayo</v>
      </c>
      <c r="D64" s="56" t="str">
        <f>IF('Catálogo de Insumos'!$B71="","",IF('Catálogo de Insumos'!Y71="","",'Catálogo de Insumos'!Y71))</f>
        <v/>
      </c>
      <c r="E64" s="57" t="str">
        <f>IF('Catálogo de Insumos'!$B71="","",IF('Catálogo de Insumos'!P71="","",'Catálogo de Insumos'!P71))</f>
        <v/>
      </c>
      <c r="F64" s="54">
        <f>IF('Catálogo de Insumos'!$B71="","",IF('Catálogo de Insumos'!R71="","",'Catálogo de Insumos'!R71))</f>
        <v>0</v>
      </c>
      <c r="G64" s="54" t="str">
        <f>IF('Catálogo de Insumos'!$B71="","",IF('Catálogo de Insumos'!S71="","",'Catálogo de Insumos'!S71))</f>
        <v/>
      </c>
      <c r="H64" s="57" t="str">
        <f>IF('Catálogo de Insumos'!$B71="","",IF('Catálogo de Insumos'!T71="","",'Catálogo de Insumos'!T71))</f>
        <v/>
      </c>
      <c r="I64" s="57" t="str">
        <f>IF('Catálogo de Insumos'!$B71="","",IF('Catálogo de Insumos'!W71="","",'Catálogo de Insumos'!W71))</f>
        <v/>
      </c>
    </row>
    <row r="65" spans="1:9" ht="15" customHeight="1" x14ac:dyDescent="0.25">
      <c r="A65" s="50">
        <f>IF('Catálogo de Insumos'!$B72="","",IF('Catálogo de Insumos'!A72="","",'Catálogo de Insumos'!A72))</f>
        <v>61</v>
      </c>
      <c r="B65" s="51" t="str">
        <f>IF('Catálogo de Insumos'!$B72="","",IF('Catálogo de Insumos'!B72="","",'Catálogo de Insumos'!B72))</f>
        <v>Terminal mesa cable masa (EDM)</v>
      </c>
      <c r="C65" s="52" t="str">
        <f>IF('Catálogo de Insumos'!$B72="","",IF('Catálogo de Insumos'!C72="","",'Catálogo de Insumos'!C72))</f>
        <v>Consumible de ensayo</v>
      </c>
      <c r="D65" s="52" t="str">
        <f>IF('Catálogo de Insumos'!$B72="","",IF('Catálogo de Insumos'!Y72="","",'Catálogo de Insumos'!Y72))</f>
        <v/>
      </c>
      <c r="E65" s="53" t="str">
        <f>IF('Catálogo de Insumos'!$B72="","",IF('Catálogo de Insumos'!P72="","",'Catálogo de Insumos'!P72))</f>
        <v/>
      </c>
      <c r="F65" s="50">
        <f>IF('Catálogo de Insumos'!$B72="","",IF('Catálogo de Insumos'!R72="","",'Catálogo de Insumos'!R72))</f>
        <v>0</v>
      </c>
      <c r="G65" s="50" t="str">
        <f>IF('Catálogo de Insumos'!$B72="","",IF('Catálogo de Insumos'!S72="","",'Catálogo de Insumos'!S72))</f>
        <v/>
      </c>
      <c r="H65" s="53" t="str">
        <f>IF('Catálogo de Insumos'!$B72="","",IF('Catálogo de Insumos'!T72="","",'Catálogo de Insumos'!T72))</f>
        <v/>
      </c>
      <c r="I65" s="53" t="str">
        <f>IF('Catálogo de Insumos'!$B72="","",IF('Catálogo de Insumos'!W72="","",'Catálogo de Insumos'!W72))</f>
        <v/>
      </c>
    </row>
    <row r="66" spans="1:9" ht="15" customHeight="1" x14ac:dyDescent="0.25">
      <c r="A66" s="54">
        <f>IF('Catálogo de Insumos'!$B73="","",IF('Catálogo de Insumos'!A73="","",'Catálogo de Insumos'!A73))</f>
        <v>62</v>
      </c>
      <c r="B66" s="55" t="str">
        <f>IF('Catálogo de Insumos'!$B73="","",IF('Catálogo de Insumos'!B73="","",'Catálogo de Insumos'!B73))</f>
        <v>Contacto eléctrico AR (EDM)</v>
      </c>
      <c r="C66" s="56" t="str">
        <f>IF('Catálogo de Insumos'!$B73="","",IF('Catálogo de Insumos'!C73="","",'Catálogo de Insumos'!C73))</f>
        <v>Consumible de ensayo</v>
      </c>
      <c r="D66" s="56" t="str">
        <f>IF('Catálogo de Insumos'!$B73="","",IF('Catálogo de Insumos'!Y73="","",'Catálogo de Insumos'!Y73))</f>
        <v/>
      </c>
      <c r="E66" s="57" t="str">
        <f>IF('Catálogo de Insumos'!$B73="","",IF('Catálogo de Insumos'!P73="","",'Catálogo de Insumos'!P73))</f>
        <v/>
      </c>
      <c r="F66" s="54">
        <f>IF('Catálogo de Insumos'!$B73="","",IF('Catálogo de Insumos'!R73="","",'Catálogo de Insumos'!R73))</f>
        <v>0</v>
      </c>
      <c r="G66" s="54" t="str">
        <f>IF('Catálogo de Insumos'!$B73="","",IF('Catálogo de Insumos'!S73="","",'Catálogo de Insumos'!S73))</f>
        <v/>
      </c>
      <c r="H66" s="57" t="str">
        <f>IF('Catálogo de Insumos'!$B73="","",IF('Catálogo de Insumos'!T73="","",'Catálogo de Insumos'!T73))</f>
        <v/>
      </c>
      <c r="I66" s="57" t="str">
        <f>IF('Catálogo de Insumos'!$B73="","",IF('Catálogo de Insumos'!W73="","",'Catálogo de Insumos'!W73))</f>
        <v/>
      </c>
    </row>
    <row r="67" spans="1:9" ht="15" customHeight="1" x14ac:dyDescent="0.25">
      <c r="A67" s="50">
        <f>IF('Catálogo de Insumos'!$B74="","",IF('Catálogo de Insumos'!A74="","",'Catálogo de Insumos'!A74))</f>
        <v>63</v>
      </c>
      <c r="B67" s="51" t="str">
        <f>IF('Catálogo de Insumos'!$B74="","",IF('Catálogo de Insumos'!B74="","",'Catálogo de Insumos'!B74))</f>
        <v>Microswitch hilo roto (EDM)</v>
      </c>
      <c r="C67" s="52" t="str">
        <f>IF('Catálogo de Insumos'!$B74="","",IF('Catálogo de Insumos'!C74="","",'Catálogo de Insumos'!C74))</f>
        <v>Consumible de ensayo</v>
      </c>
      <c r="D67" s="52" t="str">
        <f>IF('Catálogo de Insumos'!$B74="","",IF('Catálogo de Insumos'!Y74="","",'Catálogo de Insumos'!Y74))</f>
        <v/>
      </c>
      <c r="E67" s="53" t="str">
        <f>IF('Catálogo de Insumos'!$B74="","",IF('Catálogo de Insumos'!P74="","",'Catálogo de Insumos'!P74))</f>
        <v/>
      </c>
      <c r="F67" s="50">
        <f>IF('Catálogo de Insumos'!$B74="","",IF('Catálogo de Insumos'!R74="","",'Catálogo de Insumos'!R74))</f>
        <v>0</v>
      </c>
      <c r="G67" s="50" t="str">
        <f>IF('Catálogo de Insumos'!$B74="","",IF('Catálogo de Insumos'!S74="","",'Catálogo de Insumos'!S74))</f>
        <v/>
      </c>
      <c r="H67" s="53" t="str">
        <f>IF('Catálogo de Insumos'!$B74="","",IF('Catálogo de Insumos'!T74="","",'Catálogo de Insumos'!T74))</f>
        <v/>
      </c>
      <c r="I67" s="53" t="str">
        <f>IF('Catálogo de Insumos'!$B74="","",IF('Catálogo de Insumos'!W74="","",'Catálogo de Insumos'!W74))</f>
        <v/>
      </c>
    </row>
    <row r="68" spans="1:9" ht="15" customHeight="1" x14ac:dyDescent="0.25">
      <c r="A68" s="54">
        <f>IF('Catálogo de Insumos'!$B75="","",IF('Catálogo de Insumos'!A75="","",'Catálogo de Insumos'!A75))</f>
        <v>64</v>
      </c>
      <c r="B68" s="55" t="str">
        <f>IF('Catálogo de Insumos'!$B75="","",IF('Catálogo de Insumos'!B75="","",'Catálogo de Insumos'!B75))</f>
        <v>Polea metálica AR (EDM)</v>
      </c>
      <c r="C68" s="56" t="str">
        <f>IF('Catálogo de Insumos'!$B75="","",IF('Catálogo de Insumos'!C75="","",'Catálogo de Insumos'!C75))</f>
        <v>Consumible de ensayo</v>
      </c>
      <c r="D68" s="56" t="str">
        <f>IF('Catálogo de Insumos'!$B75="","",IF('Catálogo de Insumos'!Y75="","",'Catálogo de Insumos'!Y75))</f>
        <v/>
      </c>
      <c r="E68" s="57" t="str">
        <f>IF('Catálogo de Insumos'!$B75="","",IF('Catálogo de Insumos'!P75="","",'Catálogo de Insumos'!P75))</f>
        <v/>
      </c>
      <c r="F68" s="54">
        <f>IF('Catálogo de Insumos'!$B75="","",IF('Catálogo de Insumos'!R75="","",'Catálogo de Insumos'!R75))</f>
        <v>0</v>
      </c>
      <c r="G68" s="54" t="str">
        <f>IF('Catálogo de Insumos'!$B75="","",IF('Catálogo de Insumos'!S75="","",'Catálogo de Insumos'!S75))</f>
        <v/>
      </c>
      <c r="H68" s="57" t="str">
        <f>IF('Catálogo de Insumos'!$B75="","",IF('Catálogo de Insumos'!T75="","",'Catálogo de Insumos'!T75))</f>
        <v/>
      </c>
      <c r="I68" s="57" t="str">
        <f>IF('Catálogo de Insumos'!$B75="","",IF('Catálogo de Insumos'!W75="","",'Catálogo de Insumos'!W75))</f>
        <v/>
      </c>
    </row>
    <row r="69" spans="1:9" ht="15" customHeight="1" x14ac:dyDescent="0.25">
      <c r="A69" s="50">
        <f>IF('Catálogo de Insumos'!$B76="","",IF('Catálogo de Insumos'!A76="","",'Catálogo de Insumos'!A76))</f>
        <v>65</v>
      </c>
      <c r="B69" s="51" t="str">
        <f>IF('Catálogo de Insumos'!$B76="","",IF('Catálogo de Insumos'!B76="","",'Catálogo de Insumos'!B76))</f>
        <v>Polea ruby (EDM)</v>
      </c>
      <c r="C69" s="52" t="str">
        <f>IF('Catálogo de Insumos'!$B76="","",IF('Catálogo de Insumos'!C76="","",'Catálogo de Insumos'!C76))</f>
        <v>Consumible de ensayo</v>
      </c>
      <c r="D69" s="52" t="str">
        <f>IF('Catálogo de Insumos'!$B76="","",IF('Catálogo de Insumos'!Y76="","",'Catálogo de Insumos'!Y76))</f>
        <v/>
      </c>
      <c r="E69" s="53" t="str">
        <f>IF('Catálogo de Insumos'!$B76="","",IF('Catálogo de Insumos'!P76="","",'Catálogo de Insumos'!P76))</f>
        <v/>
      </c>
      <c r="F69" s="50">
        <f>IF('Catálogo de Insumos'!$B76="","",IF('Catálogo de Insumos'!R76="","",'Catálogo de Insumos'!R76))</f>
        <v>0</v>
      </c>
      <c r="G69" s="50" t="str">
        <f>IF('Catálogo de Insumos'!$B76="","",IF('Catálogo de Insumos'!S76="","",'Catálogo de Insumos'!S76))</f>
        <v/>
      </c>
      <c r="H69" s="53" t="str">
        <f>IF('Catálogo de Insumos'!$B76="","",IF('Catálogo de Insumos'!T76="","",'Catálogo de Insumos'!T76))</f>
        <v/>
      </c>
      <c r="I69" s="53" t="str">
        <f>IF('Catálogo de Insumos'!$B76="","",IF('Catálogo de Insumos'!W76="","",'Catálogo de Insumos'!W76))</f>
        <v/>
      </c>
    </row>
    <row r="70" spans="1:9" ht="15" customHeight="1" x14ac:dyDescent="0.25">
      <c r="A70" s="54">
        <f>IF('Catálogo de Insumos'!$B77="","",IF('Catálogo de Insumos'!A77="","",'Catálogo de Insumos'!A77))</f>
        <v>66</v>
      </c>
      <c r="B70" s="55" t="str">
        <f>IF('Catálogo de Insumos'!$B77="","",IF('Catálogo de Insumos'!B77="","",'Catálogo de Insumos'!B77))</f>
        <v>Kit tambor polea AR (EDM)</v>
      </c>
      <c r="C70" s="56" t="str">
        <f>IF('Catálogo de Insumos'!$B77="","",IF('Catálogo de Insumos'!C77="","",'Catálogo de Insumos'!C77))</f>
        <v>Consumible de ensayo</v>
      </c>
      <c r="D70" s="56" t="str">
        <f>IF('Catálogo de Insumos'!$B77="","",IF('Catálogo de Insumos'!Y77="","",'Catálogo de Insumos'!Y77))</f>
        <v/>
      </c>
      <c r="E70" s="57" t="str">
        <f>IF('Catálogo de Insumos'!$B77="","",IF('Catálogo de Insumos'!P77="","",'Catálogo de Insumos'!P77))</f>
        <v/>
      </c>
      <c r="F70" s="54">
        <f>IF('Catálogo de Insumos'!$B77="","",IF('Catálogo de Insumos'!R77="","",'Catálogo de Insumos'!R77))</f>
        <v>0</v>
      </c>
      <c r="G70" s="54" t="str">
        <f>IF('Catálogo de Insumos'!$B77="","",IF('Catálogo de Insumos'!S77="","",'Catálogo de Insumos'!S77))</f>
        <v/>
      </c>
      <c r="H70" s="57" t="str">
        <f>IF('Catálogo de Insumos'!$B77="","",IF('Catálogo de Insumos'!T77="","",'Catálogo de Insumos'!T77))</f>
        <v/>
      </c>
      <c r="I70" s="57" t="str">
        <f>IF('Catálogo de Insumos'!$B77="","",IF('Catálogo de Insumos'!W77="","",'Catálogo de Insumos'!W77))</f>
        <v/>
      </c>
    </row>
    <row r="71" spans="1:9" ht="15" customHeight="1" x14ac:dyDescent="0.25">
      <c r="A71" s="50">
        <f>IF('Catálogo de Insumos'!$B78="","",IF('Catálogo de Insumos'!A78="","",'Catálogo de Insumos'!A78))</f>
        <v>67</v>
      </c>
      <c r="B71" s="51" t="str">
        <f>IF('Catálogo de Insumos'!$B78="","",IF('Catálogo de Insumos'!B78="","",'Catálogo de Insumos'!B78))</f>
        <v>Lija traslapada 7"</v>
      </c>
      <c r="C71" s="52" t="str">
        <f>IF('Catálogo de Insumos'!$B78="","",IF('Catálogo de Insumos'!C78="","",'Catálogo de Insumos'!C78))</f>
        <v>Consumible de ensayo</v>
      </c>
      <c r="D71" s="52" t="str">
        <f>IF('Catálogo de Insumos'!$B78="","",IF('Catálogo de Insumos'!Y78="","",'Catálogo de Insumos'!Y78))</f>
        <v/>
      </c>
      <c r="E71" s="53" t="str">
        <f>IF('Catálogo de Insumos'!$B78="","",IF('Catálogo de Insumos'!P78="","",'Catálogo de Insumos'!P78))</f>
        <v>B</v>
      </c>
      <c r="F71" s="50">
        <f>IF('Catálogo de Insumos'!$B78="","",IF('Catálogo de Insumos'!R78="","",'Catálogo de Insumos'!R78))</f>
        <v>0</v>
      </c>
      <c r="G71" s="58">
        <f>IF('Catálogo de Insumos'!$B78="","",IF('Catálogo de Insumos'!S78="","",'Catálogo de Insumos'!S78))</f>
        <v>2</v>
      </c>
      <c r="H71" s="53" t="str">
        <f>IF('Catálogo de Insumos'!$B78="","",IF('Catálogo de Insumos'!T78="","",'Catálogo de Insumos'!T78))</f>
        <v>REPONER AHORA</v>
      </c>
      <c r="I71" s="53" t="str">
        <f ca="1">IF('Catálogo de Insumos'!$B78="","",IF('Catálogo de Insumos'!W78="","",'Catálogo de Insumos'!W78))</f>
        <v>FUERA DE VENTANA</v>
      </c>
    </row>
    <row r="72" spans="1:9" ht="15" customHeight="1" x14ac:dyDescent="0.25">
      <c r="A72" s="54">
        <f>IF('Catálogo de Insumos'!$B79="","",IF('Catálogo de Insumos'!A79="","",'Catálogo de Insumos'!A79))</f>
        <v>68</v>
      </c>
      <c r="B72" s="55" t="str">
        <f>IF('Catálogo de Insumos'!$B79="","",IF('Catálogo de Insumos'!B79="","",'Catálogo de Insumos'!B79))</f>
        <v>Alcohol metílico 5 L</v>
      </c>
      <c r="C72" s="56" t="str">
        <f>IF('Catálogo de Insumos'!$B79="","",IF('Catálogo de Insumos'!C79="","",'Catálogo de Insumos'!C79))</f>
        <v>Consumible de ensayo</v>
      </c>
      <c r="D72" s="56" t="str">
        <f>IF('Catálogo de Insumos'!$B79="","",IF('Catálogo de Insumos'!Y79="","",'Catálogo de Insumos'!Y79))</f>
        <v/>
      </c>
      <c r="E72" s="57" t="str">
        <f>IF('Catálogo de Insumos'!$B79="","",IF('Catálogo de Insumos'!P79="","",'Catálogo de Insumos'!P79))</f>
        <v>B</v>
      </c>
      <c r="F72" s="54">
        <f>IF('Catálogo de Insumos'!$B79="","",IF('Catálogo de Insumos'!R79="","",'Catálogo de Insumos'!R79))</f>
        <v>0</v>
      </c>
      <c r="G72" s="59">
        <f>IF('Catálogo de Insumos'!$B79="","",IF('Catálogo de Insumos'!S79="","",'Catálogo de Insumos'!S79))</f>
        <v>1</v>
      </c>
      <c r="H72" s="57" t="str">
        <f>IF('Catálogo de Insumos'!$B79="","",IF('Catálogo de Insumos'!T79="","",'Catálogo de Insumos'!T79))</f>
        <v>REPONER AHORA</v>
      </c>
      <c r="I72" s="57" t="str">
        <f ca="1">IF('Catálogo de Insumos'!$B79="","",IF('Catálogo de Insumos'!W79="","",'Catálogo de Insumos'!W79))</f>
        <v>FUERA DE VENTANA</v>
      </c>
    </row>
  </sheetData>
  <autoFilter ref="A4:I72" xr:uid="{00000000-0009-0000-0000-000003000000}"/>
  <mergeCells count="2">
    <mergeCell ref="A1:I1"/>
    <mergeCell ref="A2:I2"/>
  </mergeCells>
  <conditionalFormatting sqref="E5:E72">
    <cfRule type="cellIs" dxfId="5" priority="2" operator="equal">
      <formula>"A"</formula>
    </cfRule>
    <cfRule type="cellIs" dxfId="4" priority="3" operator="equal">
      <formula>"C"</formula>
    </cfRule>
  </conditionalFormatting>
  <conditionalFormatting sqref="H5:H72">
    <cfRule type="cellIs" dxfId="3" priority="4" operator="equal">
      <formula>"REPONER AHORA"</formula>
    </cfRule>
    <cfRule type="cellIs" dxfId="2" priority="5" operator="equal">
      <formula>"OK"</formula>
    </cfRule>
  </conditionalFormatting>
  <conditionalFormatting sqref="I5:I72">
    <cfRule type="cellIs" dxfId="1" priority="6" operator="equal">
      <formula>"FUERA DE VENTANA"</formula>
    </cfRule>
    <cfRule type="cellIs" dxfId="0" priority="7" operator="equal">
      <formula>"DENTRO DE VENTANA"</formula>
    </cfRule>
  </conditionalFormatting>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4"/>
  <sheetViews>
    <sheetView showGridLines="0" zoomScaleNormal="100" workbookViewId="0">
      <pane ySplit="3" topLeftCell="A4" activePane="bottomLeft" state="frozen"/>
      <selection pane="bottomLeft"/>
    </sheetView>
  </sheetViews>
  <sheetFormatPr baseColWidth="10" defaultColWidth="8.7109375" defaultRowHeight="15" x14ac:dyDescent="0.25"/>
  <cols>
    <col min="1" max="1" width="13" style="5" customWidth="1"/>
    <col min="2" max="2" width="40" style="5" customWidth="1"/>
    <col min="3" max="3" width="11" style="5" customWidth="1"/>
    <col min="4" max="4" width="22" style="5" customWidth="1"/>
    <col min="5" max="5" width="40" style="5" customWidth="1"/>
  </cols>
  <sheetData>
    <row r="1" spans="1:6" ht="15" customHeight="1" x14ac:dyDescent="0.25">
      <c r="A1" s="1" t="s">
        <v>146</v>
      </c>
      <c r="B1" s="1"/>
      <c r="C1" s="1"/>
      <c r="D1" s="1"/>
      <c r="E1" s="1"/>
      <c r="F1" s="1"/>
    </row>
    <row r="3" spans="1:6" ht="24" customHeight="1" x14ac:dyDescent="0.25">
      <c r="A3" s="60" t="s">
        <v>147</v>
      </c>
      <c r="B3" s="60" t="s">
        <v>57</v>
      </c>
      <c r="C3" s="60" t="s">
        <v>148</v>
      </c>
      <c r="D3" s="60" t="s">
        <v>149</v>
      </c>
      <c r="E3" s="60" t="s">
        <v>150</v>
      </c>
    </row>
    <row r="4" spans="1:6" ht="21.75" customHeight="1" x14ac:dyDescent="0.25">
      <c r="A4" s="61">
        <v>46037</v>
      </c>
      <c r="B4" s="62" t="s">
        <v>151</v>
      </c>
      <c r="C4" s="62">
        <v>3</v>
      </c>
      <c r="D4" s="62" t="s">
        <v>152</v>
      </c>
      <c r="E4" s="62" t="s">
        <v>153</v>
      </c>
    </row>
    <row r="5" spans="1:6" ht="15" customHeight="1" x14ac:dyDescent="0.25">
      <c r="A5" s="63"/>
      <c r="B5" s="48"/>
      <c r="C5" s="64"/>
      <c r="D5" s="48"/>
      <c r="E5" s="48"/>
    </row>
    <row r="6" spans="1:6" ht="15" customHeight="1" x14ac:dyDescent="0.25">
      <c r="A6" s="63"/>
      <c r="B6" s="48"/>
      <c r="C6" s="64"/>
      <c r="D6" s="48"/>
      <c r="E6" s="48"/>
    </row>
    <row r="7" spans="1:6" ht="15" customHeight="1" x14ac:dyDescent="0.25">
      <c r="A7" s="63"/>
      <c r="B7" s="48"/>
      <c r="C7" s="64"/>
      <c r="D7" s="48"/>
      <c r="E7" s="48"/>
    </row>
    <row r="8" spans="1:6" ht="15" customHeight="1" x14ac:dyDescent="0.25">
      <c r="A8" s="63"/>
      <c r="B8" s="48"/>
      <c r="C8" s="64"/>
      <c r="D8" s="48"/>
      <c r="E8" s="48"/>
    </row>
    <row r="9" spans="1:6" ht="15" customHeight="1" x14ac:dyDescent="0.25">
      <c r="A9" s="63"/>
      <c r="B9" s="48"/>
      <c r="C9" s="64"/>
      <c r="D9" s="48"/>
      <c r="E9" s="48"/>
    </row>
    <row r="10" spans="1:6" ht="15" customHeight="1" x14ac:dyDescent="0.25">
      <c r="A10" s="63"/>
      <c r="B10" s="48"/>
      <c r="C10" s="64"/>
      <c r="D10" s="48"/>
      <c r="E10" s="48"/>
    </row>
    <row r="11" spans="1:6" ht="15" customHeight="1" x14ac:dyDescent="0.25">
      <c r="A11" s="63"/>
      <c r="B11" s="48"/>
      <c r="C11" s="64"/>
      <c r="D11" s="48"/>
      <c r="E11" s="48"/>
    </row>
    <row r="12" spans="1:6" ht="15" customHeight="1" x14ac:dyDescent="0.25">
      <c r="A12" s="63"/>
      <c r="B12" s="48"/>
      <c r="C12" s="64"/>
      <c r="D12" s="48"/>
      <c r="E12" s="48"/>
    </row>
    <row r="13" spans="1:6" ht="15" customHeight="1" x14ac:dyDescent="0.25">
      <c r="A13" s="63"/>
      <c r="B13" s="48"/>
      <c r="C13" s="64"/>
      <c r="D13" s="48"/>
      <c r="E13" s="48"/>
    </row>
    <row r="14" spans="1:6" ht="15" customHeight="1" x14ac:dyDescent="0.25">
      <c r="A14" s="63"/>
      <c r="B14" s="48"/>
      <c r="C14" s="64"/>
      <c r="D14" s="48"/>
      <c r="E14" s="48"/>
    </row>
    <row r="15" spans="1:6" ht="15" customHeight="1" x14ac:dyDescent="0.25">
      <c r="A15" s="63"/>
      <c r="B15" s="48"/>
      <c r="C15" s="64"/>
      <c r="D15" s="48"/>
      <c r="E15" s="48"/>
    </row>
    <row r="16" spans="1:6" ht="15" customHeight="1" x14ac:dyDescent="0.25">
      <c r="A16" s="63"/>
      <c r="B16" s="48"/>
      <c r="C16" s="64"/>
      <c r="D16" s="48"/>
      <c r="E16" s="48"/>
    </row>
    <row r="17" spans="1:5" ht="15" customHeight="1" x14ac:dyDescent="0.25">
      <c r="A17" s="63"/>
      <c r="B17" s="48"/>
      <c r="C17" s="64"/>
      <c r="D17" s="48"/>
      <c r="E17" s="48"/>
    </row>
    <row r="18" spans="1:5" ht="15" customHeight="1" x14ac:dyDescent="0.25">
      <c r="A18" s="63"/>
      <c r="B18" s="48"/>
      <c r="C18" s="64"/>
      <c r="D18" s="48"/>
      <c r="E18" s="48"/>
    </row>
    <row r="19" spans="1:5" ht="15" customHeight="1" x14ac:dyDescent="0.25">
      <c r="A19" s="63"/>
      <c r="B19" s="48"/>
      <c r="C19" s="64"/>
      <c r="D19" s="48"/>
      <c r="E19" s="48"/>
    </row>
    <row r="20" spans="1:5" ht="15" customHeight="1" x14ac:dyDescent="0.25">
      <c r="A20" s="63"/>
      <c r="B20" s="48"/>
      <c r="C20" s="64"/>
      <c r="D20" s="48"/>
      <c r="E20" s="48"/>
    </row>
    <row r="21" spans="1:5" ht="15" customHeight="1" x14ac:dyDescent="0.25">
      <c r="A21" s="63"/>
      <c r="B21" s="48"/>
      <c r="C21" s="64"/>
      <c r="D21" s="48"/>
      <c r="E21" s="48"/>
    </row>
    <row r="22" spans="1:5" ht="15" customHeight="1" x14ac:dyDescent="0.25">
      <c r="A22" s="63"/>
      <c r="B22" s="48"/>
      <c r="C22" s="64"/>
      <c r="D22" s="48"/>
      <c r="E22" s="48"/>
    </row>
    <row r="23" spans="1:5" ht="15" customHeight="1" x14ac:dyDescent="0.25">
      <c r="A23" s="63"/>
      <c r="B23" s="48"/>
      <c r="C23" s="64"/>
      <c r="D23" s="48"/>
      <c r="E23" s="48"/>
    </row>
    <row r="24" spans="1:5" ht="15" customHeight="1" x14ac:dyDescent="0.25">
      <c r="A24" s="63"/>
      <c r="B24" s="48"/>
      <c r="C24" s="64"/>
      <c r="D24" s="48"/>
      <c r="E24" s="48"/>
    </row>
    <row r="25" spans="1:5" ht="15" customHeight="1" x14ac:dyDescent="0.25">
      <c r="A25" s="63"/>
      <c r="B25" s="48"/>
      <c r="C25" s="64"/>
      <c r="D25" s="48"/>
      <c r="E25" s="48"/>
    </row>
    <row r="26" spans="1:5" ht="15" customHeight="1" x14ac:dyDescent="0.25">
      <c r="A26" s="63"/>
      <c r="B26" s="48"/>
      <c r="C26" s="64"/>
      <c r="D26" s="48"/>
      <c r="E26" s="48"/>
    </row>
    <row r="27" spans="1:5" ht="15" customHeight="1" x14ac:dyDescent="0.25">
      <c r="A27" s="63"/>
      <c r="B27" s="48"/>
      <c r="C27" s="64"/>
      <c r="D27" s="48"/>
      <c r="E27" s="48"/>
    </row>
    <row r="28" spans="1:5" ht="15" customHeight="1" x14ac:dyDescent="0.25">
      <c r="A28" s="63"/>
      <c r="B28" s="48"/>
      <c r="C28" s="64"/>
      <c r="D28" s="48"/>
      <c r="E28" s="48"/>
    </row>
    <row r="29" spans="1:5" ht="15" customHeight="1" x14ac:dyDescent="0.25">
      <c r="A29" s="63"/>
      <c r="B29" s="48"/>
      <c r="C29" s="64"/>
      <c r="D29" s="48"/>
      <c r="E29" s="48"/>
    </row>
    <row r="30" spans="1:5" ht="15" customHeight="1" x14ac:dyDescent="0.25">
      <c r="A30" s="63"/>
      <c r="B30" s="48"/>
      <c r="C30" s="64"/>
      <c r="D30" s="48"/>
      <c r="E30" s="48"/>
    </row>
    <row r="31" spans="1:5" ht="15" customHeight="1" x14ac:dyDescent="0.25">
      <c r="A31" s="63"/>
      <c r="B31" s="48"/>
      <c r="C31" s="64"/>
      <c r="D31" s="48"/>
      <c r="E31" s="48"/>
    </row>
    <row r="32" spans="1:5" ht="15" customHeight="1" x14ac:dyDescent="0.25">
      <c r="A32" s="63"/>
      <c r="B32" s="48"/>
      <c r="C32" s="64"/>
      <c r="D32" s="48"/>
      <c r="E32" s="48"/>
    </row>
    <row r="33" spans="1:5" ht="15" customHeight="1" x14ac:dyDescent="0.25">
      <c r="A33" s="63"/>
      <c r="B33" s="48"/>
      <c r="C33" s="64"/>
      <c r="D33" s="48"/>
      <c r="E33" s="48"/>
    </row>
    <row r="34" spans="1:5" ht="15" customHeight="1" x14ac:dyDescent="0.25">
      <c r="A34" s="63"/>
      <c r="B34" s="48"/>
      <c r="C34" s="64"/>
      <c r="D34" s="48"/>
      <c r="E34" s="48"/>
    </row>
    <row r="35" spans="1:5" ht="15" customHeight="1" x14ac:dyDescent="0.25">
      <c r="A35" s="63"/>
      <c r="B35" s="48"/>
      <c r="C35" s="64"/>
      <c r="D35" s="48"/>
      <c r="E35" s="48"/>
    </row>
    <row r="36" spans="1:5" ht="15" customHeight="1" x14ac:dyDescent="0.25">
      <c r="A36" s="63"/>
      <c r="B36" s="48"/>
      <c r="C36" s="64"/>
      <c r="D36" s="48"/>
      <c r="E36" s="48"/>
    </row>
    <row r="37" spans="1:5" ht="15" customHeight="1" x14ac:dyDescent="0.25">
      <c r="A37" s="63"/>
      <c r="B37" s="48"/>
      <c r="C37" s="64"/>
      <c r="D37" s="48"/>
      <c r="E37" s="48"/>
    </row>
    <row r="38" spans="1:5" ht="15" customHeight="1" x14ac:dyDescent="0.25">
      <c r="A38" s="63"/>
      <c r="B38" s="48"/>
      <c r="C38" s="64"/>
      <c r="D38" s="48"/>
      <c r="E38" s="48"/>
    </row>
    <row r="39" spans="1:5" ht="15" customHeight="1" x14ac:dyDescent="0.25">
      <c r="A39" s="63"/>
      <c r="B39" s="48"/>
      <c r="C39" s="64"/>
      <c r="D39" s="48"/>
      <c r="E39" s="48"/>
    </row>
    <row r="40" spans="1:5" ht="15" customHeight="1" x14ac:dyDescent="0.25">
      <c r="A40" s="63"/>
      <c r="B40" s="48"/>
      <c r="C40" s="64"/>
      <c r="D40" s="48"/>
      <c r="E40" s="48"/>
    </row>
    <row r="41" spans="1:5" ht="15" customHeight="1" x14ac:dyDescent="0.25">
      <c r="A41" s="63"/>
      <c r="B41" s="48"/>
      <c r="C41" s="64"/>
      <c r="D41" s="48"/>
      <c r="E41" s="48"/>
    </row>
    <row r="42" spans="1:5" ht="15" customHeight="1" x14ac:dyDescent="0.25">
      <c r="A42" s="63"/>
      <c r="B42" s="48"/>
      <c r="C42" s="64"/>
      <c r="D42" s="48"/>
      <c r="E42" s="48"/>
    </row>
    <row r="43" spans="1:5" ht="15" customHeight="1" x14ac:dyDescent="0.25">
      <c r="A43" s="63"/>
      <c r="B43" s="48"/>
      <c r="C43" s="64"/>
      <c r="D43" s="48"/>
      <c r="E43" s="48"/>
    </row>
    <row r="44" spans="1:5" ht="15" customHeight="1" x14ac:dyDescent="0.25">
      <c r="A44" s="63"/>
      <c r="B44" s="48"/>
      <c r="C44" s="64"/>
      <c r="D44" s="48"/>
      <c r="E44" s="48"/>
    </row>
    <row r="45" spans="1:5" ht="15" customHeight="1" x14ac:dyDescent="0.25">
      <c r="A45" s="63"/>
      <c r="B45" s="48"/>
      <c r="C45" s="64"/>
      <c r="D45" s="48"/>
      <c r="E45" s="48"/>
    </row>
    <row r="46" spans="1:5" ht="15" customHeight="1" x14ac:dyDescent="0.25">
      <c r="A46" s="63"/>
      <c r="B46" s="48"/>
      <c r="C46" s="64"/>
      <c r="D46" s="48"/>
      <c r="E46" s="48"/>
    </row>
    <row r="47" spans="1:5" ht="15" customHeight="1" x14ac:dyDescent="0.25">
      <c r="A47" s="63"/>
      <c r="B47" s="48"/>
      <c r="C47" s="64"/>
      <c r="D47" s="48"/>
      <c r="E47" s="48"/>
    </row>
    <row r="48" spans="1:5" ht="15" customHeight="1" x14ac:dyDescent="0.25">
      <c r="A48" s="63"/>
      <c r="B48" s="48"/>
      <c r="C48" s="64"/>
      <c r="D48" s="48"/>
      <c r="E48" s="48"/>
    </row>
    <row r="49" spans="1:5" ht="15" customHeight="1" x14ac:dyDescent="0.25">
      <c r="A49" s="63"/>
      <c r="B49" s="48"/>
      <c r="C49" s="64"/>
      <c r="D49" s="48"/>
      <c r="E49" s="48"/>
    </row>
    <row r="50" spans="1:5" ht="15" customHeight="1" x14ac:dyDescent="0.25">
      <c r="A50" s="63"/>
      <c r="B50" s="48"/>
      <c r="C50" s="64"/>
      <c r="D50" s="48"/>
      <c r="E50" s="48"/>
    </row>
    <row r="51" spans="1:5" ht="15" customHeight="1" x14ac:dyDescent="0.25">
      <c r="A51" s="63"/>
      <c r="B51" s="48"/>
      <c r="C51" s="64"/>
      <c r="D51" s="48"/>
      <c r="E51" s="48"/>
    </row>
    <row r="52" spans="1:5" ht="15" customHeight="1" x14ac:dyDescent="0.25">
      <c r="A52" s="63"/>
      <c r="B52" s="48"/>
      <c r="C52" s="64"/>
      <c r="D52" s="48"/>
      <c r="E52" s="48"/>
    </row>
    <row r="53" spans="1:5" ht="15" customHeight="1" x14ac:dyDescent="0.25">
      <c r="A53" s="63"/>
      <c r="B53" s="48"/>
      <c r="C53" s="64"/>
      <c r="D53" s="48"/>
      <c r="E53" s="48"/>
    </row>
    <row r="54" spans="1:5" ht="15" customHeight="1" x14ac:dyDescent="0.25">
      <c r="A54" s="63"/>
      <c r="B54" s="48"/>
      <c r="C54" s="64"/>
      <c r="D54" s="48"/>
      <c r="E54" s="48"/>
    </row>
    <row r="55" spans="1:5" ht="15" customHeight="1" x14ac:dyDescent="0.25">
      <c r="A55" s="63"/>
      <c r="B55" s="48"/>
      <c r="C55" s="64"/>
      <c r="D55" s="48"/>
      <c r="E55" s="48"/>
    </row>
    <row r="56" spans="1:5" ht="15" customHeight="1" x14ac:dyDescent="0.25">
      <c r="A56" s="63"/>
      <c r="B56" s="48"/>
      <c r="C56" s="64"/>
      <c r="D56" s="48"/>
      <c r="E56" s="48"/>
    </row>
    <row r="57" spans="1:5" ht="15" customHeight="1" x14ac:dyDescent="0.25">
      <c r="A57" s="63"/>
      <c r="B57" s="48"/>
      <c r="C57" s="64"/>
      <c r="D57" s="48"/>
      <c r="E57" s="48"/>
    </row>
    <row r="58" spans="1:5" ht="15" customHeight="1" x14ac:dyDescent="0.25">
      <c r="A58" s="63"/>
      <c r="B58" s="48"/>
      <c r="C58" s="64"/>
      <c r="D58" s="48"/>
      <c r="E58" s="48"/>
    </row>
    <row r="59" spans="1:5" ht="15" customHeight="1" x14ac:dyDescent="0.25">
      <c r="A59" s="63"/>
      <c r="B59" s="48"/>
      <c r="C59" s="64"/>
      <c r="D59" s="48"/>
      <c r="E59" s="48"/>
    </row>
    <row r="60" spans="1:5" ht="15" customHeight="1" x14ac:dyDescent="0.25">
      <c r="A60" s="63"/>
      <c r="B60" s="48"/>
      <c r="C60" s="64"/>
      <c r="D60" s="48"/>
      <c r="E60" s="48"/>
    </row>
    <row r="61" spans="1:5" ht="15" customHeight="1" x14ac:dyDescent="0.25">
      <c r="A61" s="63"/>
      <c r="B61" s="48"/>
      <c r="C61" s="64"/>
      <c r="D61" s="48"/>
      <c r="E61" s="48"/>
    </row>
    <row r="62" spans="1:5" ht="15" customHeight="1" x14ac:dyDescent="0.25">
      <c r="A62" s="63"/>
      <c r="B62" s="48"/>
      <c r="C62" s="64"/>
      <c r="D62" s="48"/>
      <c r="E62" s="48"/>
    </row>
    <row r="63" spans="1:5" ht="15" customHeight="1" x14ac:dyDescent="0.25">
      <c r="A63" s="63"/>
      <c r="B63" s="48"/>
      <c r="C63" s="64"/>
      <c r="D63" s="48"/>
      <c r="E63" s="48"/>
    </row>
    <row r="64" spans="1:5" ht="15" customHeight="1" x14ac:dyDescent="0.25">
      <c r="A64" s="63"/>
      <c r="B64" s="48"/>
      <c r="C64" s="64"/>
      <c r="D64" s="48"/>
      <c r="E64" s="48"/>
    </row>
  </sheetData>
  <mergeCells count="1">
    <mergeCell ref="A1:F1"/>
  </mergeCells>
  <dataValidations count="1">
    <dataValidation type="whole" operator="greaterThan" allowBlank="1" errorTitle="Cantidad no válida" error="La cantidad debe ser un número entero mayor a 0." sqref="C5:C64" xr:uid="{00000000-0002-0000-0400-000001000000}">
      <formula1>0</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errorTitle="Insumo no válido" error="Selecciona un insumo de la lista del Catálogo de Insumos." xr:uid="{00000000-0002-0000-0400-000000000000}">
          <x14:formula1>
            <xm:f>'Catálogo de Insumos'!$B$12:$B$79</xm:f>
          </x14:formula1>
          <x14:formula2>
            <xm:f>0</xm:f>
          </x14:formula2>
          <xm:sqref>B5:B64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64"/>
  <sheetViews>
    <sheetView showGridLines="0" zoomScaleNormal="100" workbookViewId="0">
      <pane ySplit="3" topLeftCell="A4" activePane="bottomLeft" state="frozen"/>
      <selection pane="bottomLeft"/>
    </sheetView>
  </sheetViews>
  <sheetFormatPr baseColWidth="10" defaultColWidth="8.7109375" defaultRowHeight="15" x14ac:dyDescent="0.25"/>
  <cols>
    <col min="1" max="1" width="13" style="5" customWidth="1"/>
    <col min="2" max="2" width="40" style="5" customWidth="1"/>
    <col min="3" max="3" width="11" style="5" customWidth="1"/>
    <col min="4" max="4" width="22" style="5" customWidth="1"/>
    <col min="5" max="5" width="40" style="5" customWidth="1"/>
  </cols>
  <sheetData>
    <row r="1" spans="1:6" ht="15" customHeight="1" x14ac:dyDescent="0.25">
      <c r="A1" s="1" t="s">
        <v>154</v>
      </c>
      <c r="B1" s="1"/>
      <c r="C1" s="1"/>
      <c r="D1" s="1"/>
      <c r="E1" s="1"/>
      <c r="F1" s="1"/>
    </row>
    <row r="3" spans="1:6" ht="24" customHeight="1" x14ac:dyDescent="0.25">
      <c r="A3" s="60" t="s">
        <v>147</v>
      </c>
      <c r="B3" s="60" t="s">
        <v>57</v>
      </c>
      <c r="C3" s="60" t="s">
        <v>148</v>
      </c>
      <c r="D3" s="60" t="s">
        <v>155</v>
      </c>
      <c r="E3" s="60" t="s">
        <v>150</v>
      </c>
    </row>
    <row r="4" spans="1:6" ht="21.75" customHeight="1" x14ac:dyDescent="0.25">
      <c r="A4" s="61">
        <v>46037</v>
      </c>
      <c r="B4" s="62" t="s">
        <v>151</v>
      </c>
      <c r="C4" s="62">
        <v>3</v>
      </c>
      <c r="D4" s="62" t="s">
        <v>156</v>
      </c>
      <c r="E4" s="62" t="s">
        <v>153</v>
      </c>
    </row>
    <row r="5" spans="1:6" ht="15" customHeight="1" x14ac:dyDescent="0.25">
      <c r="A5" s="63"/>
      <c r="B5" s="48"/>
      <c r="C5" s="64"/>
      <c r="D5" s="48"/>
      <c r="E5" s="48"/>
    </row>
    <row r="6" spans="1:6" ht="15" customHeight="1" x14ac:dyDescent="0.25">
      <c r="A6" s="63"/>
      <c r="B6" s="48"/>
      <c r="C6" s="64"/>
      <c r="D6" s="48"/>
      <c r="E6" s="48"/>
    </row>
    <row r="7" spans="1:6" ht="15" customHeight="1" x14ac:dyDescent="0.25">
      <c r="A7" s="63"/>
      <c r="B7" s="48"/>
      <c r="C7" s="64"/>
      <c r="D7" s="48"/>
      <c r="E7" s="48"/>
    </row>
    <row r="8" spans="1:6" ht="15" customHeight="1" x14ac:dyDescent="0.25">
      <c r="A8" s="63"/>
      <c r="B8" s="48"/>
      <c r="C8" s="64"/>
      <c r="D8" s="48"/>
      <c r="E8" s="48"/>
    </row>
    <row r="9" spans="1:6" ht="15" customHeight="1" x14ac:dyDescent="0.25">
      <c r="A9" s="63"/>
      <c r="B9" s="48"/>
      <c r="C9" s="64"/>
      <c r="D9" s="48"/>
      <c r="E9" s="48"/>
    </row>
    <row r="10" spans="1:6" ht="15" customHeight="1" x14ac:dyDescent="0.25">
      <c r="A10" s="63"/>
      <c r="B10" s="48"/>
      <c r="C10" s="64"/>
      <c r="D10" s="48"/>
      <c r="E10" s="48"/>
    </row>
    <row r="11" spans="1:6" ht="15" customHeight="1" x14ac:dyDescent="0.25">
      <c r="A11" s="63"/>
      <c r="B11" s="48"/>
      <c r="C11" s="64"/>
      <c r="D11" s="48"/>
      <c r="E11" s="48"/>
    </row>
    <row r="12" spans="1:6" ht="15" customHeight="1" x14ac:dyDescent="0.25">
      <c r="A12" s="63"/>
      <c r="B12" s="48"/>
      <c r="C12" s="64"/>
      <c r="D12" s="48"/>
      <c r="E12" s="48"/>
    </row>
    <row r="13" spans="1:6" ht="15" customHeight="1" x14ac:dyDescent="0.25">
      <c r="A13" s="63"/>
      <c r="B13" s="48"/>
      <c r="C13" s="64"/>
      <c r="D13" s="48"/>
      <c r="E13" s="48"/>
    </row>
    <row r="14" spans="1:6" ht="15" customHeight="1" x14ac:dyDescent="0.25">
      <c r="A14" s="63"/>
      <c r="B14" s="48"/>
      <c r="C14" s="64"/>
      <c r="D14" s="48"/>
      <c r="E14" s="48"/>
    </row>
    <row r="15" spans="1:6" ht="15" customHeight="1" x14ac:dyDescent="0.25">
      <c r="A15" s="63"/>
      <c r="B15" s="48"/>
      <c r="C15" s="64"/>
      <c r="D15" s="48"/>
      <c r="E15" s="48"/>
    </row>
    <row r="16" spans="1:6" ht="15" customHeight="1" x14ac:dyDescent="0.25">
      <c r="A16" s="63"/>
      <c r="B16" s="48"/>
      <c r="C16" s="64"/>
      <c r="D16" s="48"/>
      <c r="E16" s="48"/>
    </row>
    <row r="17" spans="1:5" ht="15" customHeight="1" x14ac:dyDescent="0.25">
      <c r="A17" s="63"/>
      <c r="B17" s="48"/>
      <c r="C17" s="64"/>
      <c r="D17" s="48"/>
      <c r="E17" s="48"/>
    </row>
    <row r="18" spans="1:5" ht="15" customHeight="1" x14ac:dyDescent="0.25">
      <c r="A18" s="63"/>
      <c r="B18" s="48"/>
      <c r="C18" s="64"/>
      <c r="D18" s="48"/>
      <c r="E18" s="48"/>
    </row>
    <row r="19" spans="1:5" ht="15" customHeight="1" x14ac:dyDescent="0.25">
      <c r="A19" s="63"/>
      <c r="B19" s="48"/>
      <c r="C19" s="64"/>
      <c r="D19" s="48"/>
      <c r="E19" s="48"/>
    </row>
    <row r="20" spans="1:5" ht="15" customHeight="1" x14ac:dyDescent="0.25">
      <c r="A20" s="63"/>
      <c r="B20" s="48"/>
      <c r="C20" s="64"/>
      <c r="D20" s="48"/>
      <c r="E20" s="48"/>
    </row>
    <row r="21" spans="1:5" ht="15" customHeight="1" x14ac:dyDescent="0.25">
      <c r="A21" s="63"/>
      <c r="B21" s="48"/>
      <c r="C21" s="64"/>
      <c r="D21" s="48"/>
      <c r="E21" s="48"/>
    </row>
    <row r="22" spans="1:5" ht="15" customHeight="1" x14ac:dyDescent="0.25">
      <c r="A22" s="63"/>
      <c r="B22" s="48"/>
      <c r="C22" s="64"/>
      <c r="D22" s="48"/>
      <c r="E22" s="48"/>
    </row>
    <row r="23" spans="1:5" ht="15" customHeight="1" x14ac:dyDescent="0.25">
      <c r="A23" s="63"/>
      <c r="B23" s="48"/>
      <c r="C23" s="64"/>
      <c r="D23" s="48"/>
      <c r="E23" s="48"/>
    </row>
    <row r="24" spans="1:5" ht="15" customHeight="1" x14ac:dyDescent="0.25">
      <c r="A24" s="63"/>
      <c r="B24" s="48"/>
      <c r="C24" s="64"/>
      <c r="D24" s="48"/>
      <c r="E24" s="48"/>
    </row>
    <row r="25" spans="1:5" ht="15" customHeight="1" x14ac:dyDescent="0.25">
      <c r="A25" s="63"/>
      <c r="B25" s="48"/>
      <c r="C25" s="64"/>
      <c r="D25" s="48"/>
      <c r="E25" s="48"/>
    </row>
    <row r="26" spans="1:5" ht="15" customHeight="1" x14ac:dyDescent="0.25">
      <c r="A26" s="63"/>
      <c r="B26" s="48"/>
      <c r="C26" s="64"/>
      <c r="D26" s="48"/>
      <c r="E26" s="48"/>
    </row>
    <row r="27" spans="1:5" ht="15" customHeight="1" x14ac:dyDescent="0.25">
      <c r="A27" s="63"/>
      <c r="B27" s="48"/>
      <c r="C27" s="64"/>
      <c r="D27" s="48"/>
      <c r="E27" s="48"/>
    </row>
    <row r="28" spans="1:5" ht="15" customHeight="1" x14ac:dyDescent="0.25">
      <c r="A28" s="63"/>
      <c r="B28" s="48"/>
      <c r="C28" s="64"/>
      <c r="D28" s="48"/>
      <c r="E28" s="48"/>
    </row>
    <row r="29" spans="1:5" ht="15" customHeight="1" x14ac:dyDescent="0.25">
      <c r="A29" s="63"/>
      <c r="B29" s="48"/>
      <c r="C29" s="64"/>
      <c r="D29" s="48"/>
      <c r="E29" s="48"/>
    </row>
    <row r="30" spans="1:5" ht="15" customHeight="1" x14ac:dyDescent="0.25">
      <c r="A30" s="63"/>
      <c r="B30" s="48"/>
      <c r="C30" s="64"/>
      <c r="D30" s="48"/>
      <c r="E30" s="48"/>
    </row>
    <row r="31" spans="1:5" ht="15" customHeight="1" x14ac:dyDescent="0.25">
      <c r="A31" s="63"/>
      <c r="B31" s="48"/>
      <c r="C31" s="64"/>
      <c r="D31" s="48"/>
      <c r="E31" s="48"/>
    </row>
    <row r="32" spans="1:5" ht="15" customHeight="1" x14ac:dyDescent="0.25">
      <c r="A32" s="63"/>
      <c r="B32" s="48"/>
      <c r="C32" s="64"/>
      <c r="D32" s="48"/>
      <c r="E32" s="48"/>
    </row>
    <row r="33" spans="1:5" ht="15" customHeight="1" x14ac:dyDescent="0.25">
      <c r="A33" s="63"/>
      <c r="B33" s="48"/>
      <c r="C33" s="64"/>
      <c r="D33" s="48"/>
      <c r="E33" s="48"/>
    </row>
    <row r="34" spans="1:5" ht="15" customHeight="1" x14ac:dyDescent="0.25">
      <c r="A34" s="63"/>
      <c r="B34" s="48"/>
      <c r="C34" s="64"/>
      <c r="D34" s="48"/>
      <c r="E34" s="48"/>
    </row>
    <row r="35" spans="1:5" ht="15" customHeight="1" x14ac:dyDescent="0.25">
      <c r="A35" s="63"/>
      <c r="B35" s="48"/>
      <c r="C35" s="64"/>
      <c r="D35" s="48"/>
      <c r="E35" s="48"/>
    </row>
    <row r="36" spans="1:5" ht="15" customHeight="1" x14ac:dyDescent="0.25">
      <c r="A36" s="63"/>
      <c r="B36" s="48"/>
      <c r="C36" s="64"/>
      <c r="D36" s="48"/>
      <c r="E36" s="48"/>
    </row>
    <row r="37" spans="1:5" ht="15" customHeight="1" x14ac:dyDescent="0.25">
      <c r="A37" s="63"/>
      <c r="B37" s="48"/>
      <c r="C37" s="64"/>
      <c r="D37" s="48"/>
      <c r="E37" s="48"/>
    </row>
    <row r="38" spans="1:5" ht="15" customHeight="1" x14ac:dyDescent="0.25">
      <c r="A38" s="63"/>
      <c r="B38" s="48"/>
      <c r="C38" s="64"/>
      <c r="D38" s="48"/>
      <c r="E38" s="48"/>
    </row>
    <row r="39" spans="1:5" ht="15" customHeight="1" x14ac:dyDescent="0.25">
      <c r="A39" s="63"/>
      <c r="B39" s="48"/>
      <c r="C39" s="64"/>
      <c r="D39" s="48"/>
      <c r="E39" s="48"/>
    </row>
    <row r="40" spans="1:5" ht="15" customHeight="1" x14ac:dyDescent="0.25">
      <c r="A40" s="63"/>
      <c r="B40" s="48"/>
      <c r="C40" s="64"/>
      <c r="D40" s="48"/>
      <c r="E40" s="48"/>
    </row>
    <row r="41" spans="1:5" ht="15" customHeight="1" x14ac:dyDescent="0.25">
      <c r="A41" s="63"/>
      <c r="B41" s="48"/>
      <c r="C41" s="64"/>
      <c r="D41" s="48"/>
      <c r="E41" s="48"/>
    </row>
    <row r="42" spans="1:5" ht="15" customHeight="1" x14ac:dyDescent="0.25">
      <c r="A42" s="63"/>
      <c r="B42" s="48"/>
      <c r="C42" s="64"/>
      <c r="D42" s="48"/>
      <c r="E42" s="48"/>
    </row>
    <row r="43" spans="1:5" ht="15" customHeight="1" x14ac:dyDescent="0.25">
      <c r="A43" s="63"/>
      <c r="B43" s="48"/>
      <c r="C43" s="64"/>
      <c r="D43" s="48"/>
      <c r="E43" s="48"/>
    </row>
    <row r="44" spans="1:5" ht="15" customHeight="1" x14ac:dyDescent="0.25">
      <c r="A44" s="63"/>
      <c r="B44" s="48"/>
      <c r="C44" s="64"/>
      <c r="D44" s="48"/>
      <c r="E44" s="48"/>
    </row>
    <row r="45" spans="1:5" ht="15" customHeight="1" x14ac:dyDescent="0.25">
      <c r="A45" s="63"/>
      <c r="B45" s="48"/>
      <c r="C45" s="64"/>
      <c r="D45" s="48"/>
      <c r="E45" s="48"/>
    </row>
    <row r="46" spans="1:5" ht="15" customHeight="1" x14ac:dyDescent="0.25">
      <c r="A46" s="63"/>
      <c r="B46" s="48"/>
      <c r="C46" s="64"/>
      <c r="D46" s="48"/>
      <c r="E46" s="48"/>
    </row>
    <row r="47" spans="1:5" ht="15" customHeight="1" x14ac:dyDescent="0.25">
      <c r="A47" s="63"/>
      <c r="B47" s="48"/>
      <c r="C47" s="64"/>
      <c r="D47" s="48"/>
      <c r="E47" s="48"/>
    </row>
    <row r="48" spans="1:5" ht="15" customHeight="1" x14ac:dyDescent="0.25">
      <c r="A48" s="63"/>
      <c r="B48" s="48"/>
      <c r="C48" s="64"/>
      <c r="D48" s="48"/>
      <c r="E48" s="48"/>
    </row>
    <row r="49" spans="1:5" ht="15" customHeight="1" x14ac:dyDescent="0.25">
      <c r="A49" s="63"/>
      <c r="B49" s="48"/>
      <c r="C49" s="64"/>
      <c r="D49" s="48"/>
      <c r="E49" s="48"/>
    </row>
    <row r="50" spans="1:5" ht="15" customHeight="1" x14ac:dyDescent="0.25">
      <c r="A50" s="63"/>
      <c r="B50" s="48"/>
      <c r="C50" s="64"/>
      <c r="D50" s="48"/>
      <c r="E50" s="48"/>
    </row>
    <row r="51" spans="1:5" ht="15" customHeight="1" x14ac:dyDescent="0.25">
      <c r="A51" s="63"/>
      <c r="B51" s="48"/>
      <c r="C51" s="64"/>
      <c r="D51" s="48"/>
      <c r="E51" s="48"/>
    </row>
    <row r="52" spans="1:5" ht="15" customHeight="1" x14ac:dyDescent="0.25">
      <c r="A52" s="63"/>
      <c r="B52" s="48"/>
      <c r="C52" s="64"/>
      <c r="D52" s="48"/>
      <c r="E52" s="48"/>
    </row>
    <row r="53" spans="1:5" ht="15" customHeight="1" x14ac:dyDescent="0.25">
      <c r="A53" s="63"/>
      <c r="B53" s="48"/>
      <c r="C53" s="64"/>
      <c r="D53" s="48"/>
      <c r="E53" s="48"/>
    </row>
    <row r="54" spans="1:5" ht="15" customHeight="1" x14ac:dyDescent="0.25">
      <c r="A54" s="63"/>
      <c r="B54" s="48"/>
      <c r="C54" s="64"/>
      <c r="D54" s="48"/>
      <c r="E54" s="48"/>
    </row>
    <row r="55" spans="1:5" ht="15" customHeight="1" x14ac:dyDescent="0.25">
      <c r="A55" s="63"/>
      <c r="B55" s="48"/>
      <c r="C55" s="64"/>
      <c r="D55" s="48"/>
      <c r="E55" s="48"/>
    </row>
    <row r="56" spans="1:5" ht="15" customHeight="1" x14ac:dyDescent="0.25">
      <c r="A56" s="63"/>
      <c r="B56" s="48"/>
      <c r="C56" s="64"/>
      <c r="D56" s="48"/>
      <c r="E56" s="48"/>
    </row>
    <row r="57" spans="1:5" ht="15" customHeight="1" x14ac:dyDescent="0.25">
      <c r="A57" s="63"/>
      <c r="B57" s="48"/>
      <c r="C57" s="64"/>
      <c r="D57" s="48"/>
      <c r="E57" s="48"/>
    </row>
    <row r="58" spans="1:5" ht="15" customHeight="1" x14ac:dyDescent="0.25">
      <c r="A58" s="63"/>
      <c r="B58" s="48"/>
      <c r="C58" s="64"/>
      <c r="D58" s="48"/>
      <c r="E58" s="48"/>
    </row>
    <row r="59" spans="1:5" ht="15" customHeight="1" x14ac:dyDescent="0.25">
      <c r="A59" s="63"/>
      <c r="B59" s="48"/>
      <c r="C59" s="64"/>
      <c r="D59" s="48"/>
      <c r="E59" s="48"/>
    </row>
    <row r="60" spans="1:5" ht="15" customHeight="1" x14ac:dyDescent="0.25">
      <c r="A60" s="63"/>
      <c r="B60" s="48"/>
      <c r="C60" s="64"/>
      <c r="D60" s="48"/>
      <c r="E60" s="48"/>
    </row>
    <row r="61" spans="1:5" ht="15" customHeight="1" x14ac:dyDescent="0.25">
      <c r="A61" s="63"/>
      <c r="B61" s="48"/>
      <c r="C61" s="64"/>
      <c r="D61" s="48"/>
      <c r="E61" s="48"/>
    </row>
    <row r="62" spans="1:5" ht="15" customHeight="1" x14ac:dyDescent="0.25">
      <c r="A62" s="63"/>
      <c r="B62" s="48"/>
      <c r="C62" s="64"/>
      <c r="D62" s="48"/>
      <c r="E62" s="48"/>
    </row>
    <row r="63" spans="1:5" ht="15" customHeight="1" x14ac:dyDescent="0.25">
      <c r="A63" s="63"/>
      <c r="B63" s="48"/>
      <c r="C63" s="64"/>
      <c r="D63" s="48"/>
      <c r="E63" s="48"/>
    </row>
    <row r="64" spans="1:5" ht="15" customHeight="1" x14ac:dyDescent="0.25">
      <c r="A64" s="63"/>
      <c r="B64" s="48"/>
      <c r="C64" s="64"/>
      <c r="D64" s="48"/>
      <c r="E64" s="48"/>
    </row>
  </sheetData>
  <mergeCells count="1">
    <mergeCell ref="A1:F1"/>
  </mergeCells>
  <dataValidations count="1">
    <dataValidation type="whole" operator="greaterThan" allowBlank="1" errorTitle="Cantidad no válida" error="La cantidad debe ser un número entero mayor a 0." sqref="C5:C64" xr:uid="{00000000-0002-0000-0500-000001000000}">
      <formula1>0</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errorTitle="Insumo no válido" error="Selecciona un insumo de la lista del Catálogo de Insumos." xr:uid="{00000000-0002-0000-0500-000000000000}">
          <x14:formula1>
            <xm:f>'Catálogo de Insumos'!$B$12:$B$79</xm:f>
          </x14:formula1>
          <x14:formula2>
            <xm:f>0</xm:f>
          </x14:formula2>
          <xm:sqref>B5:B64</xm:sqref>
        </x14:dataValidation>
      </x14:dataValidations>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Instrucciones</vt:lpstr>
      <vt:lpstr>Listas</vt:lpstr>
      <vt:lpstr>Catálogo de Insumos</vt:lpstr>
      <vt:lpstr>Vista General</vt:lpstr>
      <vt:lpstr>Registro de Ingresos</vt:lpstr>
      <vt:lpstr>Registro de Egresos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 caceres manzano</cp:lastModifiedBy>
  <cp:revision>0</cp:revision>
  <dcterms:created xsi:type="dcterms:W3CDTF">2026-08-25T13:54:04Z</dcterms:created>
  <dcterms:modified xsi:type="dcterms:W3CDTF">2026-09-01T00:37:43Z</dcterms:modified>
  <dc:language>en-US</dc:language>
</cp:coreProperties>
</file>