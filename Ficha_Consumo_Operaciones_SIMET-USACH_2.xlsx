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Mi unidad\TESIS MSGI\CONTROL-INSUMOS SIMET\"/>
    </mc:Choice>
  </mc:AlternateContent>
  <xr:revisionPtr revIDLastSave="0" documentId="8_{10206558-FA88-448B-9B0B-570AFF758B1B}" xr6:coauthVersionLast="36" xr6:coauthVersionMax="36" xr10:uidLastSave="{00000000-0000-0000-0000-000000000000}"/>
  <bookViews>
    <workbookView xWindow="0" yWindow="0" windowWidth="28800" windowHeight="11505" tabRatio="500" xr2:uid="{00000000-000D-0000-FFFF-FFFF00000000}"/>
  </bookViews>
  <sheets>
    <sheet name="Instrucciones" sheetId="1" r:id="rId1"/>
    <sheet name="Listas" sheetId="2" state="hidden" r:id="rId2"/>
    <sheet name="Ficha de Consumo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0" i="3" l="1"/>
  <c r="F30" i="3"/>
  <c r="F29" i="3"/>
  <c r="H29" i="3" s="1"/>
  <c r="H28" i="3"/>
  <c r="F28" i="3"/>
  <c r="H27" i="3"/>
  <c r="F27" i="3"/>
  <c r="F26" i="3"/>
  <c r="H26" i="3" s="1"/>
  <c r="F25" i="3"/>
  <c r="H25" i="3" s="1"/>
  <c r="F24" i="3"/>
  <c r="H24" i="3" s="1"/>
  <c r="F23" i="3"/>
  <c r="H23" i="3" s="1"/>
  <c r="F22" i="3"/>
  <c r="H22" i="3" s="1"/>
  <c r="F21" i="3"/>
  <c r="H21" i="3" s="1"/>
  <c r="F20" i="3"/>
  <c r="H20" i="3" s="1"/>
  <c r="F19" i="3"/>
  <c r="H19" i="3" s="1"/>
  <c r="F18" i="3"/>
  <c r="H18" i="3" s="1"/>
  <c r="F17" i="3"/>
  <c r="H17" i="3" s="1"/>
  <c r="F16" i="3"/>
  <c r="H16" i="3" s="1"/>
  <c r="F15" i="3"/>
  <c r="H15" i="3" s="1"/>
  <c r="F14" i="3"/>
  <c r="H14" i="3" s="1"/>
  <c r="F13" i="3"/>
  <c r="H13" i="3" s="1"/>
  <c r="F12" i="3"/>
  <c r="H12" i="3" s="1"/>
  <c r="F11" i="3"/>
  <c r="H11" i="3" s="1"/>
  <c r="F10" i="3"/>
  <c r="H10" i="3" s="1"/>
  <c r="F9" i="3"/>
  <c r="H9" i="3" s="1"/>
  <c r="F8" i="3"/>
  <c r="H8" i="3" s="1"/>
  <c r="F7" i="3"/>
  <c r="H7" i="3" s="1"/>
  <c r="F6" i="3"/>
  <c r="H6" i="3" s="1"/>
  <c r="F5" i="3"/>
  <c r="H5" i="3" s="1"/>
  <c r="F4" i="3"/>
  <c r="H4" i="3" s="1"/>
</calcChain>
</file>

<file path=xl/sharedStrings.xml><?xml version="1.0" encoding="utf-8"?>
<sst xmlns="http://schemas.openxmlformats.org/spreadsheetml/2006/main" count="65" uniqueCount="46">
  <si>
    <t>FICHA DE CONSUMO DE INSUMOS POR OPERACIÓN DE PREPARACIÓN — SIMET-USACH</t>
  </si>
  <si>
    <t>Cómo está organizada esta ficha</t>
  </si>
  <si>
    <t>1. La ficha se organiza por OPERACIÓN de preparación de probetas (Corte, Fresado, Torneado...), no por ensayo acreditado — así un mismo insumo no se duplica cuando lo comparten varios ensayos.</t>
  </si>
  <si>
    <t>2. El Costo unitario (columna D) ya viene precargado con el promedio real de compras 2025-2026 para los insumos identificados. No lo edite salvo que tenga un dato más actualizado.</t>
  </si>
  <si>
    <t>3. La columna E (N° de unidades que se cambian juntas) es para insumos donde no se reemplaza una sola unidad, sino un set completo de una vez — por ejemplo, en Torneado no se sabe aún con certeza si se cambian 6, 7 u 8 insertos juntos de una caja de 10, así que quedó en 7 como valor provisional: AJÚSTELO apenas lo confirme. Para insumos que se cambian de a una unidad (ej. sierras), déjelo en 1.</t>
  </si>
  <si>
    <t>4. La columna F (Costo por cambio de set) se calcula sola: Costo unitario × N° de unidades por cambio. No la edite.</t>
  </si>
  <si>
    <t>5. Complete la columna G (Rendimiento: N° de probetas que alcanza a hacer un cambio completo de set antes de volver a cambiarlo) con el dato de terreno.</t>
  </si>
  <si>
    <t>6. La columna H (Costo por probeta) se calcula sola: Costo por cambio de set ÷ Rendimiento. No la edite.</t>
  </si>
  <si>
    <t>7. La columna I (Fuente del dato) indica de dónde viene el Rendimiento: use el menú desplegable.</t>
  </si>
  <si>
    <t>8. Las operaciones Corte, Fresado y Torneado ya tienen sus insumos identificados a partir de las compras reales 2025-2026. Lijado (Lija traslapada) se agregó sin costo unitario precargado — complételo también. Agregue filas nuevas para otras operaciones (Desbaste, Pulido, Ataque químico, etc.) a medida que las levante en terreno.</t>
  </si>
  <si>
    <t>Leyenda de colores</t>
  </si>
  <si>
    <t xml:space="preserve">   Encabezado de operación (Corte, Fresado, Torneado...)</t>
  </si>
  <si>
    <t xml:space="preserve">   Celda para completar o ajustar manualmente</t>
  </si>
  <si>
    <t xml:space="preserve">   Celda calculada automáticamente (no editar)</t>
  </si>
  <si>
    <t>Fuente del dato</t>
  </si>
  <si>
    <t>Compra 2025-2026 (estimado por volumen)</t>
  </si>
  <si>
    <t>Entrevista personal técnico</t>
  </si>
  <si>
    <t>Observación directa</t>
  </si>
  <si>
    <t>Estimación / por confirmar</t>
  </si>
  <si>
    <t>FICHA DE CONSUMO DE INSUMOS — PREPARACIÓN DE PROBETAS</t>
  </si>
  <si>
    <t>Operación</t>
  </si>
  <si>
    <t>Insumo</t>
  </si>
  <si>
    <t>Unidad</t>
  </si>
  <si>
    <t>Costo unitario (CLP)</t>
  </si>
  <si>
    <t>N° de unidades
que se cambian juntas</t>
  </si>
  <si>
    <t>Costo por cambio
de set (CLP)</t>
  </si>
  <si>
    <t>Rendimiento
(N° probetas por cambio)</t>
  </si>
  <si>
    <t>Costo por probeta (CLP)</t>
  </si>
  <si>
    <t>Fuente del dato (Rendimiento)</t>
  </si>
  <si>
    <t>Corte</t>
  </si>
  <si>
    <t>Sierra bimetal 1" 4-6 E0,9</t>
  </si>
  <si>
    <t>unidad</t>
  </si>
  <si>
    <t>Sierra bimetal 1" 5-7 E0,9</t>
  </si>
  <si>
    <t>Fresado</t>
  </si>
  <si>
    <t>Inserto fresa SNHX 1206PH</t>
  </si>
  <si>
    <t>Inserto RCMX 2006 Mitsubishi</t>
  </si>
  <si>
    <t>Inserto APKT 160408 PH792</t>
  </si>
  <si>
    <t>Torneado</t>
  </si>
  <si>
    <t>Inserto torno TNMG 160404</t>
  </si>
  <si>
    <t>Inserto TNMG 160408-MA MI</t>
  </si>
  <si>
    <t>Inserto TNMG 100404-MS-NF</t>
  </si>
  <si>
    <t>Porta H ext WTJNR 2020K16</t>
  </si>
  <si>
    <t>Porta H int S25-MTUNR16AW</t>
  </si>
  <si>
    <t>Repuesto placa base M1603</t>
  </si>
  <si>
    <t>Lijado</t>
  </si>
  <si>
    <t>Lija traslapada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</si>
</sst>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4" borderId="0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2" borderId="1" xfId="0" applyFill="1" applyBorder="1"/>
    <xf numFmtId="0" fontId="3" fillId="0" borderId="0" xfId="0" applyFont="1"/>
    <xf numFmtId="0" fontId="0" fillId="3" borderId="1" xfId="0" applyFill="1" applyBorder="1"/>
    <xf numFmtId="0" fontId="0" fillId="0" borderId="1" xfId="0" applyBorder="1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3" borderId="1" xfId="0" applyFont="1" applyFill="1" applyBorder="1"/>
    <xf numFmtId="3" fontId="8" fillId="3" borderId="1" xfId="0" applyNumberFormat="1" applyFont="1" applyFill="1" applyBorder="1"/>
    <xf numFmtId="3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7"/>
  <sheetViews>
    <sheetView showGridLines="0" tabSelected="1" zoomScaleNormal="100" workbookViewId="0"/>
  </sheetViews>
  <sheetFormatPr baseColWidth="10" defaultColWidth="8.7109375" defaultRowHeight="15" x14ac:dyDescent="0.25"/>
  <cols>
    <col min="1" max="1" width="4" customWidth="1"/>
    <col min="2" max="2" width="100" customWidth="1"/>
  </cols>
  <sheetData>
    <row r="2" spans="1:2" ht="19.5" x14ac:dyDescent="0.3">
      <c r="B2" s="2" t="s">
        <v>0</v>
      </c>
    </row>
    <row r="4" spans="1:2" ht="15.75" x14ac:dyDescent="0.25">
      <c r="B4" s="3" t="s">
        <v>1</v>
      </c>
    </row>
    <row r="5" spans="1:2" ht="39.75" customHeight="1" x14ac:dyDescent="0.25">
      <c r="B5" s="4" t="s">
        <v>2</v>
      </c>
    </row>
    <row r="6" spans="1:2" ht="39.75" customHeight="1" x14ac:dyDescent="0.25">
      <c r="B6" s="4" t="s">
        <v>3</v>
      </c>
    </row>
    <row r="7" spans="1:2" ht="39.75" customHeight="1" x14ac:dyDescent="0.25">
      <c r="B7" s="4" t="s">
        <v>4</v>
      </c>
    </row>
    <row r="8" spans="1:2" ht="39.75" customHeight="1" x14ac:dyDescent="0.25">
      <c r="B8" s="4" t="s">
        <v>5</v>
      </c>
    </row>
    <row r="9" spans="1:2" ht="39.75" customHeight="1" x14ac:dyDescent="0.25">
      <c r="B9" s="4" t="s">
        <v>6</v>
      </c>
    </row>
    <row r="10" spans="1:2" ht="39.75" customHeight="1" x14ac:dyDescent="0.25">
      <c r="B10" s="4" t="s">
        <v>7</v>
      </c>
    </row>
    <row r="11" spans="1:2" ht="39.75" customHeight="1" x14ac:dyDescent="0.25">
      <c r="B11" s="4" t="s">
        <v>8</v>
      </c>
    </row>
    <row r="12" spans="1:2" ht="39.75" customHeight="1" x14ac:dyDescent="0.25">
      <c r="B12" s="4" t="s">
        <v>9</v>
      </c>
    </row>
    <row r="14" spans="1:2" ht="15.75" x14ac:dyDescent="0.25">
      <c r="B14" s="3" t="s">
        <v>10</v>
      </c>
    </row>
    <row r="15" spans="1:2" x14ac:dyDescent="0.25">
      <c r="A15" s="5"/>
      <c r="B15" s="6" t="s">
        <v>11</v>
      </c>
    </row>
    <row r="16" spans="1:2" x14ac:dyDescent="0.25">
      <c r="A16" s="7"/>
      <c r="B16" s="6" t="s">
        <v>12</v>
      </c>
    </row>
    <row r="17" spans="1:2" x14ac:dyDescent="0.25">
      <c r="A17" s="8"/>
      <c r="B17" s="6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</cols>
  <sheetData>
    <row r="1" spans="1:1" x14ac:dyDescent="0.25">
      <c r="A1" s="9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14" customWidth="1"/>
    <col min="2" max="2" width="30" customWidth="1"/>
    <col min="3" max="3" width="10" customWidth="1"/>
    <col min="4" max="4" width="16" customWidth="1"/>
    <col min="5" max="5" width="14" customWidth="1"/>
    <col min="6" max="6" width="15" customWidth="1"/>
    <col min="7" max="7" width="18" customWidth="1"/>
    <col min="8" max="8" width="16" customWidth="1"/>
    <col min="9" max="9" width="26" customWidth="1"/>
  </cols>
  <sheetData>
    <row r="1" spans="1:9" ht="24" customHeight="1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</row>
    <row r="3" spans="1:9" ht="43.5" customHeight="1" x14ac:dyDescent="0.25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</row>
    <row r="4" spans="1:9" x14ac:dyDescent="0.25">
      <c r="A4" s="11" t="s">
        <v>29</v>
      </c>
      <c r="B4" s="12" t="s">
        <v>30</v>
      </c>
      <c r="C4" s="13" t="s">
        <v>31</v>
      </c>
      <c r="D4" s="14">
        <v>36860.25</v>
      </c>
      <c r="E4" s="15">
        <v>1</v>
      </c>
      <c r="F4" s="14">
        <f t="shared" ref="F4:F30" si="0">IF(OR(D4="",E4=""),"",D4*E4)</f>
        <v>36860.25</v>
      </c>
      <c r="G4" s="15"/>
      <c r="H4" s="14" t="str">
        <f t="shared" ref="H4:H30" si="1">IF(OR(F4="",G4=""),"",F4/G4)</f>
        <v/>
      </c>
      <c r="I4" s="13"/>
    </row>
    <row r="5" spans="1:9" x14ac:dyDescent="0.25">
      <c r="A5" s="11" t="s">
        <v>29</v>
      </c>
      <c r="B5" s="12" t="s">
        <v>32</v>
      </c>
      <c r="C5" s="13" t="s">
        <v>31</v>
      </c>
      <c r="D5" s="14">
        <v>37859.85</v>
      </c>
      <c r="E5" s="15">
        <v>1</v>
      </c>
      <c r="F5" s="14">
        <f t="shared" si="0"/>
        <v>37859.85</v>
      </c>
      <c r="G5" s="15"/>
      <c r="H5" s="14" t="str">
        <f t="shared" si="1"/>
        <v/>
      </c>
      <c r="I5" s="13"/>
    </row>
    <row r="6" spans="1:9" x14ac:dyDescent="0.25">
      <c r="A6" s="11" t="s">
        <v>33</v>
      </c>
      <c r="B6" s="12" t="s">
        <v>34</v>
      </c>
      <c r="C6" s="13" t="s">
        <v>31</v>
      </c>
      <c r="D6" s="14">
        <v>16162.58</v>
      </c>
      <c r="E6" s="15">
        <v>1</v>
      </c>
      <c r="F6" s="14">
        <f t="shared" si="0"/>
        <v>16162.58</v>
      </c>
      <c r="G6" s="15"/>
      <c r="H6" s="14" t="str">
        <f t="shared" si="1"/>
        <v/>
      </c>
      <c r="I6" s="13"/>
    </row>
    <row r="7" spans="1:9" x14ac:dyDescent="0.25">
      <c r="A7" s="11" t="s">
        <v>33</v>
      </c>
      <c r="B7" s="12" t="s">
        <v>35</v>
      </c>
      <c r="C7" s="13" t="s">
        <v>31</v>
      </c>
      <c r="D7" s="14">
        <v>26640.53</v>
      </c>
      <c r="E7" s="15">
        <v>1</v>
      </c>
      <c r="F7" s="14">
        <f t="shared" si="0"/>
        <v>26640.53</v>
      </c>
      <c r="G7" s="15"/>
      <c r="H7" s="14" t="str">
        <f t="shared" si="1"/>
        <v/>
      </c>
      <c r="I7" s="13"/>
    </row>
    <row r="8" spans="1:9" x14ac:dyDescent="0.25">
      <c r="A8" s="11" t="s">
        <v>33</v>
      </c>
      <c r="B8" s="12" t="s">
        <v>36</v>
      </c>
      <c r="C8" s="13" t="s">
        <v>31</v>
      </c>
      <c r="D8" s="14">
        <v>9722.2999999999993</v>
      </c>
      <c r="E8" s="15">
        <v>1</v>
      </c>
      <c r="F8" s="14">
        <f t="shared" si="0"/>
        <v>9722.2999999999993</v>
      </c>
      <c r="G8" s="15"/>
      <c r="H8" s="14" t="str">
        <f t="shared" si="1"/>
        <v/>
      </c>
      <c r="I8" s="13"/>
    </row>
    <row r="9" spans="1:9" x14ac:dyDescent="0.25">
      <c r="A9" s="11" t="s">
        <v>37</v>
      </c>
      <c r="B9" s="12" t="s">
        <v>38</v>
      </c>
      <c r="C9" s="13" t="s">
        <v>31</v>
      </c>
      <c r="D9" s="14">
        <v>7646.94</v>
      </c>
      <c r="E9" s="15">
        <v>7</v>
      </c>
      <c r="F9" s="14">
        <f t="shared" si="0"/>
        <v>53528.579999999994</v>
      </c>
      <c r="G9" s="15"/>
      <c r="H9" s="14" t="str">
        <f t="shared" si="1"/>
        <v/>
      </c>
      <c r="I9" s="13"/>
    </row>
    <row r="10" spans="1:9" x14ac:dyDescent="0.25">
      <c r="A10" s="11" t="s">
        <v>37</v>
      </c>
      <c r="B10" s="12" t="s">
        <v>39</v>
      </c>
      <c r="C10" s="13" t="s">
        <v>31</v>
      </c>
      <c r="D10" s="14">
        <v>9240.35</v>
      </c>
      <c r="E10" s="15">
        <v>7</v>
      </c>
      <c r="F10" s="14">
        <f t="shared" si="0"/>
        <v>64682.450000000004</v>
      </c>
      <c r="G10" s="15"/>
      <c r="H10" s="14" t="str">
        <f t="shared" si="1"/>
        <v/>
      </c>
      <c r="I10" s="13"/>
    </row>
    <row r="11" spans="1:9" x14ac:dyDescent="0.25">
      <c r="A11" s="11" t="s">
        <v>37</v>
      </c>
      <c r="B11" s="12" t="s">
        <v>40</v>
      </c>
      <c r="C11" s="13" t="s">
        <v>31</v>
      </c>
      <c r="D11" s="14">
        <v>9302.23</v>
      </c>
      <c r="E11" s="15">
        <v>7</v>
      </c>
      <c r="F11" s="14">
        <f t="shared" si="0"/>
        <v>65115.61</v>
      </c>
      <c r="G11" s="15"/>
      <c r="H11" s="14" t="str">
        <f t="shared" si="1"/>
        <v/>
      </c>
      <c r="I11" s="13"/>
    </row>
    <row r="12" spans="1:9" x14ac:dyDescent="0.25">
      <c r="A12" s="11" t="s">
        <v>37</v>
      </c>
      <c r="B12" s="12" t="s">
        <v>41</v>
      </c>
      <c r="C12" s="13" t="s">
        <v>31</v>
      </c>
      <c r="D12" s="14">
        <v>47600</v>
      </c>
      <c r="E12" s="15">
        <v>1</v>
      </c>
      <c r="F12" s="14">
        <f t="shared" si="0"/>
        <v>47600</v>
      </c>
      <c r="G12" s="15"/>
      <c r="H12" s="14" t="str">
        <f t="shared" si="1"/>
        <v/>
      </c>
      <c r="I12" s="13"/>
    </row>
    <row r="13" spans="1:9" x14ac:dyDescent="0.25">
      <c r="A13" s="11" t="s">
        <v>37</v>
      </c>
      <c r="B13" s="12" t="s">
        <v>42</v>
      </c>
      <c r="C13" s="13" t="s">
        <v>31</v>
      </c>
      <c r="D13" s="14">
        <v>116203.5</v>
      </c>
      <c r="E13" s="15">
        <v>1</v>
      </c>
      <c r="F13" s="14">
        <f t="shared" si="0"/>
        <v>116203.5</v>
      </c>
      <c r="G13" s="15"/>
      <c r="H13" s="14" t="str">
        <f t="shared" si="1"/>
        <v/>
      </c>
      <c r="I13" s="13"/>
    </row>
    <row r="14" spans="1:9" x14ac:dyDescent="0.25">
      <c r="A14" s="11" t="s">
        <v>37</v>
      </c>
      <c r="B14" s="12" t="s">
        <v>43</v>
      </c>
      <c r="C14" s="13" t="s">
        <v>31</v>
      </c>
      <c r="D14" s="14">
        <v>6842.5</v>
      </c>
      <c r="E14" s="15">
        <v>1</v>
      </c>
      <c r="F14" s="14">
        <f t="shared" si="0"/>
        <v>6842.5</v>
      </c>
      <c r="G14" s="15"/>
      <c r="H14" s="14" t="str">
        <f t="shared" si="1"/>
        <v/>
      </c>
      <c r="I14" s="13"/>
    </row>
    <row r="15" spans="1:9" x14ac:dyDescent="0.25">
      <c r="A15" s="11" t="s">
        <v>44</v>
      </c>
      <c r="B15" s="12" t="s">
        <v>45</v>
      </c>
      <c r="C15" s="13" t="s">
        <v>31</v>
      </c>
      <c r="D15" s="16"/>
      <c r="E15" s="15">
        <v>1</v>
      </c>
      <c r="F15" s="14" t="str">
        <f t="shared" si="0"/>
        <v/>
      </c>
      <c r="G15" s="15"/>
      <c r="H15" s="14" t="str">
        <f t="shared" si="1"/>
        <v/>
      </c>
      <c r="I15" s="13"/>
    </row>
    <row r="16" spans="1:9" x14ac:dyDescent="0.25">
      <c r="A16" s="17"/>
      <c r="B16" s="18"/>
      <c r="C16" s="17"/>
      <c r="D16" s="19"/>
      <c r="E16" s="18"/>
      <c r="F16" s="20" t="str">
        <f t="shared" si="0"/>
        <v/>
      </c>
      <c r="G16" s="18"/>
      <c r="H16" s="20" t="str">
        <f t="shared" si="1"/>
        <v/>
      </c>
      <c r="I16" s="17"/>
    </row>
    <row r="17" spans="1:9" x14ac:dyDescent="0.25">
      <c r="A17" s="17"/>
      <c r="B17" s="18"/>
      <c r="C17" s="17"/>
      <c r="D17" s="19"/>
      <c r="E17" s="18"/>
      <c r="F17" s="20" t="str">
        <f t="shared" si="0"/>
        <v/>
      </c>
      <c r="G17" s="18"/>
      <c r="H17" s="20" t="str">
        <f t="shared" si="1"/>
        <v/>
      </c>
      <c r="I17" s="17"/>
    </row>
    <row r="18" spans="1:9" x14ac:dyDescent="0.25">
      <c r="A18" s="17"/>
      <c r="B18" s="18"/>
      <c r="C18" s="17"/>
      <c r="D18" s="19"/>
      <c r="E18" s="18"/>
      <c r="F18" s="20" t="str">
        <f t="shared" si="0"/>
        <v/>
      </c>
      <c r="G18" s="18"/>
      <c r="H18" s="20" t="str">
        <f t="shared" si="1"/>
        <v/>
      </c>
      <c r="I18" s="17"/>
    </row>
    <row r="19" spans="1:9" x14ac:dyDescent="0.25">
      <c r="A19" s="17"/>
      <c r="B19" s="18"/>
      <c r="C19" s="17"/>
      <c r="D19" s="19"/>
      <c r="E19" s="18"/>
      <c r="F19" s="20" t="str">
        <f t="shared" si="0"/>
        <v/>
      </c>
      <c r="G19" s="18"/>
      <c r="H19" s="20" t="str">
        <f t="shared" si="1"/>
        <v/>
      </c>
      <c r="I19" s="17"/>
    </row>
    <row r="20" spans="1:9" x14ac:dyDescent="0.25">
      <c r="A20" s="17"/>
      <c r="B20" s="18"/>
      <c r="C20" s="17"/>
      <c r="D20" s="19"/>
      <c r="E20" s="18"/>
      <c r="F20" s="20" t="str">
        <f t="shared" si="0"/>
        <v/>
      </c>
      <c r="G20" s="18"/>
      <c r="H20" s="20" t="str">
        <f t="shared" si="1"/>
        <v/>
      </c>
      <c r="I20" s="17"/>
    </row>
    <row r="21" spans="1:9" x14ac:dyDescent="0.25">
      <c r="A21" s="17"/>
      <c r="B21" s="18"/>
      <c r="C21" s="17"/>
      <c r="D21" s="19"/>
      <c r="E21" s="18"/>
      <c r="F21" s="20" t="str">
        <f t="shared" si="0"/>
        <v/>
      </c>
      <c r="G21" s="18"/>
      <c r="H21" s="20" t="str">
        <f t="shared" si="1"/>
        <v/>
      </c>
      <c r="I21" s="17"/>
    </row>
    <row r="22" spans="1:9" x14ac:dyDescent="0.25">
      <c r="A22" s="17"/>
      <c r="B22" s="18"/>
      <c r="C22" s="17"/>
      <c r="D22" s="19"/>
      <c r="E22" s="18"/>
      <c r="F22" s="20" t="str">
        <f t="shared" si="0"/>
        <v/>
      </c>
      <c r="G22" s="18"/>
      <c r="H22" s="20" t="str">
        <f t="shared" si="1"/>
        <v/>
      </c>
      <c r="I22" s="17"/>
    </row>
    <row r="23" spans="1:9" x14ac:dyDescent="0.25">
      <c r="A23" s="17"/>
      <c r="B23" s="18"/>
      <c r="C23" s="17"/>
      <c r="D23" s="19"/>
      <c r="E23" s="18"/>
      <c r="F23" s="20" t="str">
        <f t="shared" si="0"/>
        <v/>
      </c>
      <c r="G23" s="18"/>
      <c r="H23" s="20" t="str">
        <f t="shared" si="1"/>
        <v/>
      </c>
      <c r="I23" s="17"/>
    </row>
    <row r="24" spans="1:9" x14ac:dyDescent="0.25">
      <c r="A24" s="17"/>
      <c r="B24" s="18"/>
      <c r="C24" s="17"/>
      <c r="D24" s="19"/>
      <c r="E24" s="18"/>
      <c r="F24" s="20" t="str">
        <f t="shared" si="0"/>
        <v/>
      </c>
      <c r="G24" s="18"/>
      <c r="H24" s="20" t="str">
        <f t="shared" si="1"/>
        <v/>
      </c>
      <c r="I24" s="17"/>
    </row>
    <row r="25" spans="1:9" x14ac:dyDescent="0.25">
      <c r="A25" s="17"/>
      <c r="B25" s="18"/>
      <c r="C25" s="17"/>
      <c r="D25" s="19"/>
      <c r="E25" s="18"/>
      <c r="F25" s="20" t="str">
        <f t="shared" si="0"/>
        <v/>
      </c>
      <c r="G25" s="18"/>
      <c r="H25" s="20" t="str">
        <f t="shared" si="1"/>
        <v/>
      </c>
      <c r="I25" s="17"/>
    </row>
    <row r="26" spans="1:9" x14ac:dyDescent="0.25">
      <c r="A26" s="17"/>
      <c r="B26" s="18"/>
      <c r="C26" s="17"/>
      <c r="D26" s="19"/>
      <c r="E26" s="18"/>
      <c r="F26" s="20" t="str">
        <f t="shared" si="0"/>
        <v/>
      </c>
      <c r="G26" s="18"/>
      <c r="H26" s="20" t="str">
        <f t="shared" si="1"/>
        <v/>
      </c>
      <c r="I26" s="17"/>
    </row>
    <row r="27" spans="1:9" x14ac:dyDescent="0.25">
      <c r="A27" s="17"/>
      <c r="B27" s="18"/>
      <c r="C27" s="17"/>
      <c r="D27" s="19"/>
      <c r="E27" s="18"/>
      <c r="F27" s="20" t="str">
        <f t="shared" si="0"/>
        <v/>
      </c>
      <c r="G27" s="18"/>
      <c r="H27" s="20" t="str">
        <f t="shared" si="1"/>
        <v/>
      </c>
      <c r="I27" s="17"/>
    </row>
    <row r="28" spans="1:9" x14ac:dyDescent="0.25">
      <c r="A28" s="17"/>
      <c r="B28" s="18"/>
      <c r="C28" s="17"/>
      <c r="D28" s="19"/>
      <c r="E28" s="18"/>
      <c r="F28" s="20" t="str">
        <f t="shared" si="0"/>
        <v/>
      </c>
      <c r="G28" s="18"/>
      <c r="H28" s="20" t="str">
        <f t="shared" si="1"/>
        <v/>
      </c>
      <c r="I28" s="17"/>
    </row>
    <row r="29" spans="1:9" x14ac:dyDescent="0.25">
      <c r="A29" s="17"/>
      <c r="B29" s="18"/>
      <c r="C29" s="17"/>
      <c r="D29" s="19"/>
      <c r="E29" s="18"/>
      <c r="F29" s="20" t="str">
        <f t="shared" si="0"/>
        <v/>
      </c>
      <c r="G29" s="18"/>
      <c r="H29" s="20" t="str">
        <f t="shared" si="1"/>
        <v/>
      </c>
      <c r="I29" s="17"/>
    </row>
    <row r="30" spans="1:9" x14ac:dyDescent="0.25">
      <c r="A30" s="17"/>
      <c r="B30" s="18"/>
      <c r="C30" s="17"/>
      <c r="D30" s="19"/>
      <c r="E30" s="18"/>
      <c r="F30" s="20" t="str">
        <f t="shared" si="0"/>
        <v/>
      </c>
      <c r="G30" s="18"/>
      <c r="H30" s="20" t="str">
        <f t="shared" si="1"/>
        <v/>
      </c>
      <c r="I30" s="17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Listas!$A$2:$A$5</xm:f>
          </x14:formula1>
          <x14:formula2>
            <xm:f>0</xm:f>
          </x14:formula2>
          <xm:sqref>I4:I30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Listas</vt:lpstr>
      <vt:lpstr>Ficha de 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caceres manzano</cp:lastModifiedBy>
  <cp:revision>0</cp:revision>
  <dcterms:created xsi:type="dcterms:W3CDTF">2026-08-22T19:42:53Z</dcterms:created>
  <dcterms:modified xsi:type="dcterms:W3CDTF">2026-08-22T20:14:52Z</dcterms:modified>
  <dc:language>en-US</dc:language>
</cp:coreProperties>
</file>