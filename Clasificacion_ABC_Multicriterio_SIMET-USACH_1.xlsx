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:\Mi unidad\TESIS MSGI\CONTROL-INSUMOS SIMET\"/>
    </mc:Choice>
  </mc:AlternateContent>
  <xr:revisionPtr revIDLastSave="0" documentId="8_{7B6903B9-5CC8-4790-8FF8-D18144865736}" xr6:coauthVersionLast="36" xr6:coauthVersionMax="36" xr10:uidLastSave="{00000000-0000-0000-0000-000000000000}"/>
  <bookViews>
    <workbookView xWindow="0" yWindow="0" windowWidth="28800" windowHeight="11505" tabRatio="500" xr2:uid="{00000000-000D-0000-FFFF-FFFF00000000}"/>
  </bookViews>
  <sheets>
    <sheet name="Instrucciones" sheetId="1" r:id="rId1"/>
    <sheet name="Listas" sheetId="2" state="hidden" r:id="rId2"/>
    <sheet name="Clasificación ABC Multicriterio" sheetId="3" r:id="rId3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78" i="3" l="1"/>
  <c r="I78" i="3"/>
  <c r="J78" i="3" s="1"/>
  <c r="K78" i="3" s="1"/>
  <c r="H78" i="3"/>
  <c r="H77" i="3"/>
  <c r="T77" i="3" s="1"/>
  <c r="I77" i="3" s="1"/>
  <c r="J77" i="3" s="1"/>
  <c r="K77" i="3" s="1"/>
  <c r="H76" i="3"/>
  <c r="T76" i="3" s="1"/>
  <c r="I76" i="3" s="1"/>
  <c r="J76" i="3" s="1"/>
  <c r="K76" i="3" s="1"/>
  <c r="H75" i="3"/>
  <c r="T75" i="3" s="1"/>
  <c r="I75" i="3" s="1"/>
  <c r="J75" i="3" s="1"/>
  <c r="K75" i="3" s="1"/>
  <c r="T74" i="3"/>
  <c r="I74" i="3"/>
  <c r="J74" i="3" s="1"/>
  <c r="K74" i="3" s="1"/>
  <c r="H74" i="3"/>
  <c r="H73" i="3"/>
  <c r="T73" i="3" s="1"/>
  <c r="I73" i="3" s="1"/>
  <c r="J73" i="3" s="1"/>
  <c r="K73" i="3" s="1"/>
  <c r="H72" i="3"/>
  <c r="T72" i="3" s="1"/>
  <c r="I72" i="3" s="1"/>
  <c r="J72" i="3" s="1"/>
  <c r="K72" i="3" s="1"/>
  <c r="T71" i="3"/>
  <c r="I71" i="3" s="1"/>
  <c r="J71" i="3" s="1"/>
  <c r="K71" i="3" s="1"/>
  <c r="H71" i="3"/>
  <c r="H70" i="3"/>
  <c r="T70" i="3" s="1"/>
  <c r="I70" i="3" s="1"/>
  <c r="J70" i="3" s="1"/>
  <c r="K70" i="3" s="1"/>
  <c r="T69" i="3"/>
  <c r="I69" i="3"/>
  <c r="J69" i="3" s="1"/>
  <c r="K69" i="3" s="1"/>
  <c r="H69" i="3"/>
  <c r="T68" i="3"/>
  <c r="I68" i="3" s="1"/>
  <c r="J68" i="3" s="1"/>
  <c r="K68" i="3" s="1"/>
  <c r="H68" i="3"/>
  <c r="T67" i="3"/>
  <c r="I67" i="3" s="1"/>
  <c r="J67" i="3" s="1"/>
  <c r="K67" i="3" s="1"/>
  <c r="H67" i="3"/>
  <c r="H66" i="3"/>
  <c r="T66" i="3" s="1"/>
  <c r="I66" i="3" s="1"/>
  <c r="J66" i="3" s="1"/>
  <c r="K66" i="3" s="1"/>
  <c r="T65" i="3"/>
  <c r="I65" i="3" s="1"/>
  <c r="J65" i="3" s="1"/>
  <c r="K65" i="3" s="1"/>
  <c r="H65" i="3"/>
  <c r="T64" i="3"/>
  <c r="I64" i="3" s="1"/>
  <c r="J64" i="3" s="1"/>
  <c r="K64" i="3" s="1"/>
  <c r="H64" i="3"/>
  <c r="H59" i="3"/>
  <c r="T59" i="3" s="1"/>
  <c r="I59" i="3" s="1"/>
  <c r="J59" i="3" s="1"/>
  <c r="K59" i="3" s="1"/>
  <c r="H57" i="3"/>
  <c r="T57" i="3" s="1"/>
  <c r="I57" i="3" s="1"/>
  <c r="J57" i="3" s="1"/>
  <c r="K57" i="3" s="1"/>
  <c r="H56" i="3"/>
  <c r="T56" i="3" s="1"/>
  <c r="I56" i="3" s="1"/>
  <c r="J56" i="3" s="1"/>
  <c r="K56" i="3" s="1"/>
  <c r="H54" i="3"/>
  <c r="T54" i="3" s="1"/>
  <c r="I54" i="3" s="1"/>
  <c r="J54" i="3" s="1"/>
  <c r="K54" i="3" s="1"/>
  <c r="H53" i="3"/>
  <c r="T53" i="3" s="1"/>
  <c r="I53" i="3" s="1"/>
  <c r="J53" i="3" s="1"/>
  <c r="K53" i="3" s="1"/>
  <c r="T52" i="3"/>
  <c r="I52" i="3" s="1"/>
  <c r="J52" i="3" s="1"/>
  <c r="K52" i="3" s="1"/>
  <c r="H52" i="3"/>
  <c r="T48" i="3"/>
  <c r="I48" i="3" s="1"/>
  <c r="J48" i="3" s="1"/>
  <c r="K48" i="3" s="1"/>
  <c r="H48" i="3"/>
  <c r="H47" i="3"/>
  <c r="T47" i="3" s="1"/>
  <c r="I47" i="3" s="1"/>
  <c r="J47" i="3" s="1"/>
  <c r="K47" i="3" s="1"/>
  <c r="T46" i="3"/>
  <c r="I46" i="3"/>
  <c r="J46" i="3" s="1"/>
  <c r="K46" i="3" s="1"/>
  <c r="H46" i="3"/>
  <c r="H45" i="3"/>
  <c r="T45" i="3" s="1"/>
  <c r="I45" i="3" s="1"/>
  <c r="J45" i="3" s="1"/>
  <c r="K45" i="3" s="1"/>
  <c r="H44" i="3"/>
  <c r="T44" i="3" s="1"/>
  <c r="I44" i="3" s="1"/>
  <c r="J44" i="3" s="1"/>
  <c r="K44" i="3" s="1"/>
  <c r="H43" i="3"/>
  <c r="T43" i="3" s="1"/>
  <c r="I43" i="3" s="1"/>
  <c r="J43" i="3" s="1"/>
  <c r="K43" i="3" s="1"/>
  <c r="T42" i="3"/>
  <c r="I42" i="3"/>
  <c r="J42" i="3" s="1"/>
  <c r="K42" i="3" s="1"/>
  <c r="H42" i="3"/>
  <c r="H41" i="3"/>
  <c r="T41" i="3" s="1"/>
  <c r="I41" i="3" s="1"/>
  <c r="J41" i="3" s="1"/>
  <c r="K41" i="3" s="1"/>
  <c r="H40" i="3"/>
  <c r="T40" i="3" s="1"/>
  <c r="I40" i="3" s="1"/>
  <c r="J40" i="3" s="1"/>
  <c r="K40" i="3" s="1"/>
  <c r="T39" i="3"/>
  <c r="I39" i="3" s="1"/>
  <c r="J39" i="3" s="1"/>
  <c r="K39" i="3" s="1"/>
  <c r="H39" i="3"/>
  <c r="H38" i="3"/>
  <c r="T38" i="3" s="1"/>
  <c r="I38" i="3" s="1"/>
  <c r="J38" i="3" s="1"/>
  <c r="K38" i="3" s="1"/>
  <c r="H37" i="3"/>
  <c r="T37" i="3" s="1"/>
  <c r="I37" i="3" s="1"/>
  <c r="J37" i="3" s="1"/>
  <c r="K37" i="3" s="1"/>
  <c r="T36" i="3"/>
  <c r="I36" i="3" s="1"/>
  <c r="J36" i="3" s="1"/>
  <c r="K36" i="3" s="1"/>
  <c r="H36" i="3"/>
  <c r="T35" i="3"/>
  <c r="I35" i="3" s="1"/>
  <c r="J35" i="3" s="1"/>
  <c r="K35" i="3" s="1"/>
  <c r="H35" i="3"/>
  <c r="H34" i="3"/>
  <c r="T34" i="3" s="1"/>
  <c r="I34" i="3" s="1"/>
  <c r="J34" i="3" s="1"/>
  <c r="K34" i="3" s="1"/>
  <c r="T33" i="3"/>
  <c r="I33" i="3" s="1"/>
  <c r="J33" i="3" s="1"/>
  <c r="K33" i="3" s="1"/>
  <c r="H33" i="3"/>
  <c r="T32" i="3"/>
  <c r="I32" i="3" s="1"/>
  <c r="J32" i="3" s="1"/>
  <c r="K32" i="3" s="1"/>
  <c r="H32" i="3"/>
  <c r="H31" i="3"/>
  <c r="T31" i="3" s="1"/>
  <c r="I31" i="3" s="1"/>
  <c r="J31" i="3" s="1"/>
  <c r="K31" i="3" s="1"/>
  <c r="T30" i="3"/>
  <c r="I30" i="3"/>
  <c r="J30" i="3" s="1"/>
  <c r="K30" i="3" s="1"/>
  <c r="H30" i="3"/>
  <c r="H29" i="3"/>
  <c r="T29" i="3" s="1"/>
  <c r="I29" i="3" s="1"/>
  <c r="J29" i="3" s="1"/>
  <c r="K29" i="3" s="1"/>
  <c r="H28" i="3"/>
  <c r="T28" i="3" s="1"/>
  <c r="I28" i="3" s="1"/>
  <c r="J28" i="3" s="1"/>
  <c r="K28" i="3" s="1"/>
  <c r="H27" i="3"/>
  <c r="T27" i="3" s="1"/>
  <c r="I27" i="3" s="1"/>
  <c r="J27" i="3" s="1"/>
  <c r="K27" i="3" s="1"/>
  <c r="T26" i="3"/>
  <c r="I26" i="3"/>
  <c r="J26" i="3" s="1"/>
  <c r="K26" i="3" s="1"/>
  <c r="H26" i="3"/>
  <c r="H25" i="3"/>
  <c r="T25" i="3" s="1"/>
  <c r="I25" i="3" s="1"/>
  <c r="J25" i="3" s="1"/>
  <c r="K25" i="3" s="1"/>
  <c r="H24" i="3"/>
  <c r="T24" i="3" s="1"/>
  <c r="I24" i="3" s="1"/>
  <c r="J24" i="3" s="1"/>
  <c r="K24" i="3" s="1"/>
  <c r="T23" i="3"/>
  <c r="I23" i="3" s="1"/>
  <c r="J23" i="3" s="1"/>
  <c r="K23" i="3" s="1"/>
  <c r="H23" i="3"/>
  <c r="H22" i="3"/>
  <c r="T22" i="3" s="1"/>
  <c r="I22" i="3" s="1"/>
  <c r="J22" i="3" s="1"/>
  <c r="K22" i="3" s="1"/>
  <c r="H21" i="3"/>
  <c r="T21" i="3" s="1"/>
  <c r="I21" i="3" s="1"/>
  <c r="J21" i="3" s="1"/>
  <c r="K21" i="3" s="1"/>
  <c r="T20" i="3"/>
  <c r="I20" i="3" s="1"/>
  <c r="J20" i="3" s="1"/>
  <c r="K20" i="3" s="1"/>
  <c r="H20" i="3"/>
  <c r="T19" i="3"/>
  <c r="I19" i="3" s="1"/>
  <c r="J19" i="3" s="1"/>
  <c r="K19" i="3" s="1"/>
  <c r="H19" i="3"/>
  <c r="H18" i="3"/>
  <c r="T18" i="3" s="1"/>
  <c r="I18" i="3" s="1"/>
  <c r="J18" i="3" s="1"/>
  <c r="K18" i="3" s="1"/>
  <c r="T17" i="3"/>
  <c r="I17" i="3" s="1"/>
  <c r="J17" i="3" s="1"/>
  <c r="K17" i="3" s="1"/>
  <c r="H17" i="3"/>
  <c r="T16" i="3"/>
  <c r="I16" i="3" s="1"/>
  <c r="J16" i="3" s="1"/>
  <c r="K16" i="3" s="1"/>
  <c r="H16" i="3"/>
  <c r="H15" i="3"/>
  <c r="T15" i="3" s="1"/>
  <c r="I15" i="3" s="1"/>
  <c r="J15" i="3" s="1"/>
  <c r="K15" i="3" s="1"/>
  <c r="T14" i="3"/>
  <c r="I14" i="3"/>
  <c r="J14" i="3" s="1"/>
  <c r="K14" i="3" s="1"/>
  <c r="H14" i="3"/>
  <c r="H13" i="3"/>
  <c r="T13" i="3" s="1"/>
  <c r="I13" i="3" s="1"/>
  <c r="J13" i="3" s="1"/>
  <c r="K13" i="3" s="1"/>
  <c r="S12" i="3"/>
  <c r="R12" i="3"/>
  <c r="Q12" i="3"/>
  <c r="P12" i="3"/>
  <c r="O12" i="3"/>
  <c r="H62" i="3" s="1"/>
  <c r="T62" i="3" s="1"/>
  <c r="N12" i="3"/>
  <c r="H50" i="3" s="1"/>
  <c r="T50" i="3" s="1"/>
  <c r="B8" i="3"/>
  <c r="H63" i="3" l="1"/>
  <c r="T63" i="3" s="1"/>
  <c r="H60" i="3"/>
  <c r="T60" i="3" s="1"/>
  <c r="H51" i="3"/>
  <c r="T51" i="3" s="1"/>
  <c r="H61" i="3"/>
  <c r="T61" i="3" s="1"/>
  <c r="H58" i="3"/>
  <c r="T58" i="3" s="1"/>
  <c r="H49" i="3"/>
  <c r="T49" i="3" s="1"/>
  <c r="H55" i="3"/>
  <c r="T55" i="3" s="1"/>
  <c r="I55" i="3" s="1"/>
  <c r="H12" i="3"/>
  <c r="T12" i="3" s="1"/>
  <c r="I12" i="3" s="1"/>
  <c r="I51" i="3" l="1"/>
  <c r="I60" i="3"/>
  <c r="I49" i="3"/>
  <c r="J12" i="3" s="1"/>
  <c r="K12" i="3" s="1"/>
  <c r="I58" i="3"/>
  <c r="I63" i="3"/>
  <c r="I62" i="3"/>
  <c r="J62" i="3" s="1"/>
  <c r="K62" i="3" s="1"/>
  <c r="I61" i="3"/>
  <c r="I50" i="3"/>
  <c r="J50" i="3" s="1"/>
  <c r="K50" i="3" s="1"/>
  <c r="J58" i="3" l="1"/>
  <c r="K58" i="3" s="1"/>
  <c r="J61" i="3"/>
  <c r="K61" i="3" s="1"/>
  <c r="J60" i="3"/>
  <c r="K60" i="3" s="1"/>
  <c r="J63" i="3"/>
  <c r="K63" i="3" s="1"/>
  <c r="J51" i="3"/>
  <c r="K51" i="3" s="1"/>
  <c r="J49" i="3"/>
  <c r="K49" i="3" s="1"/>
  <c r="J55" i="3"/>
  <c r="K55" i="3" s="1"/>
</calcChain>
</file>

<file path=xl/sharedStrings.xml><?xml version="1.0" encoding="utf-8"?>
<sst xmlns="http://schemas.openxmlformats.org/spreadsheetml/2006/main" count="145" uniqueCount="113">
  <si>
    <t>CLASIFICACIÓN ABC MULTICRITERIO DE INSUMOS — SIMET-USACH</t>
  </si>
  <si>
    <t>Metodología (modelo Hadi-Vencheh, vía Khanorkar y Kane, 2023)</t>
  </si>
  <si>
    <t>1. Complete las 4 columnas amarillas para cada insumo: Costo unitario (CLP), Frecuencia de uso mensual, Impacto en la continuidad operacional (escala 1-5) y Tiempo de reposición (días).</t>
  </si>
  <si>
    <t>2. Impacto operacional (1-5): 1 = no afecta el ensayo si falta; 3 = genera atraso pero hay alternativa; 5 = detiene completamente el ensayo, sin sustituto ni proveedor alternativo rápido.</t>
  </si>
  <si>
    <t>3. Marque la Categoría de cada insumo con el menú desplegable. Los ítems de categoría "EPP-Seguridad" quedan fuera del ranking ABC (su criticidad es normativa/legal, no de continuidad operacional) — revíselos aparte.</t>
  </si>
  <si>
    <t>4. Los pesos de cada criterio (celdas B7:B10) deben sumar 1. Vienen con 0,25 cada uno por defecto (igual ponderación); ajústelos si algún criterio es más relevante para su diagnóstico.</t>
  </si>
  <si>
    <t>5. El resto de las columnas (normalización, puntaje ponderado, ranking, % acumulado y clasificación A/B/C) se calculan solas. No las edite.</t>
  </si>
  <si>
    <t>6. Clasificación: A = insumos cuyo puntaje acumulado (ordenados de mayor a menor) llega hasta el 80% del total; B = hasta el 95%; C = el resto. Es el mismo criterio 80/20 de Pareto aplicado al puntaje multicriterio, no solo al costo.</t>
  </si>
  <si>
    <t>7. Los insumos con ID 37 en adelante (Sierras, Insertos, Lijas de banda y repuestos de Electroerosión) vienen con Costo unitario y Frecuencia de uso PRECARGADOS a partir de las compras reales 2025 (Gastos_insumos_2025.xlsx). Adicionalmente, las Sierras y los Insertos ya tienen también Impacto operacional y Tiempo de reposición completados, en base a la síntesis de las encuestas de agosto de 2026 (ver comentario en el script/columna) — por lo tanto esos ítems YA tienen clasificación A/B/C calculada.</t>
  </si>
  <si>
    <t>8. Los repuestos de Electroerosión (EDM) y los ítems del catálogo original (ID 1 al 36) siguen sin Impacto/Tiempo: complételos cuando tenga esa información de terreno, o déjelos en blanco si no aplican a su alcance final.</t>
  </si>
  <si>
    <t>9. Se incluyó una fila de ejemplo (ID 0, en gris) con valores ilustrativos — no la use como dato real, solo muestra el formato esperado.</t>
  </si>
  <si>
    <t>Leyenda de colores</t>
  </si>
  <si>
    <t xml:space="preserve">   Celda de dato crudo — completar manualmente</t>
  </si>
  <si>
    <t xml:space="preserve">   Peso del criterio — completar manualmente (deben sumar 1)</t>
  </si>
  <si>
    <t xml:space="preserve">   Celda calculada automáticamente (no editar)</t>
  </si>
  <si>
    <t xml:space="preserve">   Clasificación C</t>
  </si>
  <si>
    <t xml:space="preserve">   Clasificación A</t>
  </si>
  <si>
    <t>Categoría</t>
  </si>
  <si>
    <t>Consumible de ensayo</t>
  </si>
  <si>
    <t>Rendimiento múltiple (herramienta)</t>
  </si>
  <si>
    <t>EPP-Seguridad</t>
  </si>
  <si>
    <t>Insumo general</t>
  </si>
  <si>
    <t>CLASIFICACIÓN ABC MULTICRITERIO DE INSUMOS CRÍTICOS — SIMET-USACH</t>
  </si>
  <si>
    <t>Pesos de los criterios (deben sumar 1)</t>
  </si>
  <si>
    <t>Peso — Costo unitario</t>
  </si>
  <si>
    <t>Peso — Frecuencia de uso</t>
  </si>
  <si>
    <t>Peso — Impacto operacional</t>
  </si>
  <si>
    <t>Peso — Tiempo de reposición</t>
  </si>
  <si>
    <t>Suma de pesos (debe ser 1.00)</t>
  </si>
  <si>
    <t>ID</t>
  </si>
  <si>
    <t>Nombre del ítem</t>
  </si>
  <si>
    <t>Costo unitario (CLP)</t>
  </si>
  <si>
    <t>Frecuencia de uso
(mensual)</t>
  </si>
  <si>
    <t>Impacto operacional
(1-5)</t>
  </si>
  <si>
    <t>Tiempo de reposición
(días)</t>
  </si>
  <si>
    <t>Puntaje ponderado</t>
  </si>
  <si>
    <t>Ranking</t>
  </si>
  <si>
    <t>% acumulado</t>
  </si>
  <si>
    <t>Clasificación ABC</t>
  </si>
  <si>
    <t>min_costo</t>
  </si>
  <si>
    <t>max_costo</t>
  </si>
  <si>
    <t>min_frec</t>
  </si>
  <si>
    <t>max_frec</t>
  </si>
  <si>
    <t>min_tr</t>
  </si>
  <si>
    <t>max_tr</t>
  </si>
  <si>
    <t>Puntaje_desempate</t>
  </si>
  <si>
    <t>Ejemplo: Reactivo X (no usar como dato real)</t>
  </si>
  <si>
    <t>Lija para metal grano 80</t>
  </si>
  <si>
    <t>Lija para metal grano 120</t>
  </si>
  <si>
    <t>Lija para metal grano 320</t>
  </si>
  <si>
    <t>Lija para metal grano 400</t>
  </si>
  <si>
    <t>Lija para metal grano 500</t>
  </si>
  <si>
    <t>Lija para metal grano 600</t>
  </si>
  <si>
    <t>Lija para metal grano 800</t>
  </si>
  <si>
    <t>Lija para metal grano 1000</t>
  </si>
  <si>
    <t>Lija para metal grano 1200</t>
  </si>
  <si>
    <t>Lija para metal grano 1500</t>
  </si>
  <si>
    <t>Paño de pulido</t>
  </si>
  <si>
    <t>Alúmina 1 µm</t>
  </si>
  <si>
    <t>Alúmina 2 µm</t>
  </si>
  <si>
    <t>Sierra para corte de muestras</t>
  </si>
  <si>
    <t>Disco de corte</t>
  </si>
  <si>
    <t>Lija traslapada</t>
  </si>
  <si>
    <t>Lija de desbaste</t>
  </si>
  <si>
    <t>Inserto de fresado</t>
  </si>
  <si>
    <t>Inserto de torneado</t>
  </si>
  <si>
    <t>Inserto para sección reducida</t>
  </si>
  <si>
    <t>Wipe industrial</t>
  </si>
  <si>
    <t>Palo de equipo</t>
  </si>
  <si>
    <t>Grasa consistente</t>
  </si>
  <si>
    <t>Zapatos de seguridad</t>
  </si>
  <si>
    <t>Guantes de cabritilla</t>
  </si>
  <si>
    <t>Guantes de látex para ataque de muestras</t>
  </si>
  <si>
    <t>Lentes tipo antiparra</t>
  </si>
  <si>
    <t>Protectores auditivos</t>
  </si>
  <si>
    <t>Casco de seguridad</t>
  </si>
  <si>
    <t>Cofias / gorro desechable</t>
  </si>
  <si>
    <t>Mascarillas desechables</t>
  </si>
  <si>
    <t>Toalla Nova (papel industrial)</t>
  </si>
  <si>
    <t>Paño multiuso</t>
  </si>
  <si>
    <t>Hilo de carburo de tungsteno (lilo)</t>
  </si>
  <si>
    <t>Agua desmineralizada</t>
  </si>
  <si>
    <t>Agua verde (refrigerante)</t>
  </si>
  <si>
    <t>Sierra bimetal 1" 4-6 E0,9</t>
  </si>
  <si>
    <t>Sierra bimetal 1" 5-7 E0,9</t>
  </si>
  <si>
    <t>Sierra bimetal 1" 3-4 E0,9</t>
  </si>
  <si>
    <t>Correa motor A-37</t>
  </si>
  <si>
    <t>Banda lija tela gr 100</t>
  </si>
  <si>
    <t>Banda lija tela gr 80</t>
  </si>
  <si>
    <t>Inserto RCMX 2006 Mitsubishi</t>
  </si>
  <si>
    <t>Porta H ext WTJNR 2020K16</t>
  </si>
  <si>
    <t>Repuesto placa base M1603</t>
  </si>
  <si>
    <t>Inserto APKT 160408 PH792</t>
  </si>
  <si>
    <t>Porta H int S25-MTUNR16AW</t>
  </si>
  <si>
    <t>Inserto TNMG 160408-MA MI</t>
  </si>
  <si>
    <t>Inserto fresa SNHX 1206PH</t>
  </si>
  <si>
    <t>Inserto torno TNMG 160404</t>
  </si>
  <si>
    <t>Inserto TNMG 100404-MS-NF</t>
  </si>
  <si>
    <t>Mantención placas electrónicas (EDM)</t>
  </si>
  <si>
    <t>Mantención cable bomba de agua (EDM)</t>
  </si>
  <si>
    <t>Cable original bomba AR (EDM)</t>
  </si>
  <si>
    <t>Rodamiento polea AR (EDM)</t>
  </si>
  <si>
    <t>Filtro AR (EDM)</t>
  </si>
  <si>
    <t>Hilo molibdeno 0,18 mm (EDM)</t>
  </si>
  <si>
    <t>Emulsión dieléctrica AR (EDM)</t>
  </si>
  <si>
    <t>Cable de masa (EDM)</t>
  </si>
  <si>
    <t>Sensor hilo roto AR (EDM)</t>
  </si>
  <si>
    <t>Terminal mesa cable masa (EDM)</t>
  </si>
  <si>
    <t>Contacto eléctrico AR (EDM)</t>
  </si>
  <si>
    <t>Microswitch hilo roto (EDM)</t>
  </si>
  <si>
    <t>Polea metálica AR (EDM)</t>
  </si>
  <si>
    <t>Polea ruby (EDM)</t>
  </si>
  <si>
    <t>Kit tambor polea AR (EDM)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</si>
</sst>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12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b/>
      <sz val="12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3"/>
      <color rgb="FFFFFFFF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i/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i/>
      <sz val="10"/>
      <color rgb="FF7F7F7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C6E0B4"/>
        <bgColor rgb="FFBFBFBF"/>
      </patternFill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5" fillId="6" borderId="0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0" fillId="2" borderId="1" xfId="0" applyFill="1" applyBorder="1"/>
    <xf numFmtId="0" fontId="3" fillId="0" borderId="0" xfId="0" applyFont="1"/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4" fillId="0" borderId="0" xfId="0" applyFont="1"/>
    <xf numFmtId="0" fontId="6" fillId="0" borderId="0" xfId="0" applyFont="1"/>
    <xf numFmtId="0" fontId="7" fillId="0" borderId="0" xfId="0" applyFont="1"/>
    <xf numFmtId="2" fontId="0" fillId="3" borderId="1" xfId="0" applyNumberFormat="1" applyFill="1" applyBorder="1"/>
    <xf numFmtId="0" fontId="8" fillId="0" borderId="0" xfId="0" applyFont="1"/>
    <xf numFmtId="2" fontId="9" fillId="0" borderId="0" xfId="0" applyNumberFormat="1" applyFont="1"/>
    <xf numFmtId="0" fontId="10" fillId="6" borderId="1" xfId="0" applyFont="1" applyFill="1" applyBorder="1" applyAlignment="1">
      <alignment horizontal="center" vertical="center" wrapText="1"/>
    </xf>
    <xf numFmtId="0" fontId="0" fillId="0" borderId="0" xfId="0" applyFont="1"/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3" fontId="11" fillId="7" borderId="1" xfId="0" applyNumberFormat="1" applyFont="1" applyFill="1" applyBorder="1" applyAlignment="1">
      <alignment horizontal="center" vertical="center" wrapText="1"/>
    </xf>
    <xf numFmtId="164" fontId="11" fillId="7" borderId="1" xfId="0" applyNumberFormat="1" applyFont="1" applyFill="1" applyBorder="1" applyAlignment="1">
      <alignment horizontal="center" vertical="center" wrapText="1"/>
    </xf>
    <xf numFmtId="165" fontId="11" fillId="7" borderId="1" xfId="0" applyNumberFormat="1" applyFont="1" applyFill="1" applyBorder="1" applyAlignment="1">
      <alignment horizontal="center" vertical="center" wrapText="1"/>
    </xf>
    <xf numFmtId="166" fontId="11" fillId="7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b/>
        <color rgb="FF375623"/>
        <name val="Arial"/>
        <charset val="1"/>
      </font>
      <fill>
        <patternFill>
          <bgColor rgb="FFC6E0B4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0"/>
  <sheetViews>
    <sheetView showGridLines="0" tabSelected="1" zoomScaleNormal="100" workbookViewId="0"/>
  </sheetViews>
  <sheetFormatPr baseColWidth="10" defaultColWidth="8.7109375" defaultRowHeight="15" x14ac:dyDescent="0.25"/>
  <cols>
    <col min="1" max="1" width="4" customWidth="1"/>
    <col min="2" max="2" width="100" customWidth="1"/>
  </cols>
  <sheetData>
    <row r="2" spans="1:2" ht="20.25" x14ac:dyDescent="0.3">
      <c r="B2" s="2" t="s">
        <v>0</v>
      </c>
    </row>
    <row r="4" spans="1:2" ht="15.75" x14ac:dyDescent="0.25">
      <c r="B4" s="3" t="s">
        <v>1</v>
      </c>
    </row>
    <row r="5" spans="1:2" ht="33.75" customHeight="1" x14ac:dyDescent="0.25">
      <c r="B5" s="4" t="s">
        <v>2</v>
      </c>
    </row>
    <row r="6" spans="1:2" ht="33.75" customHeight="1" x14ac:dyDescent="0.25">
      <c r="B6" s="4" t="s">
        <v>3</v>
      </c>
    </row>
    <row r="7" spans="1:2" ht="33.75" customHeight="1" x14ac:dyDescent="0.25">
      <c r="B7" s="4" t="s">
        <v>4</v>
      </c>
    </row>
    <row r="8" spans="1:2" ht="33.75" customHeight="1" x14ac:dyDescent="0.25">
      <c r="B8" s="4" t="s">
        <v>5</v>
      </c>
    </row>
    <row r="9" spans="1:2" ht="33.75" customHeight="1" x14ac:dyDescent="0.25">
      <c r="B9" s="4" t="s">
        <v>6</v>
      </c>
    </row>
    <row r="10" spans="1:2" ht="33.75" customHeight="1" x14ac:dyDescent="0.25">
      <c r="B10" s="4" t="s">
        <v>7</v>
      </c>
    </row>
    <row r="11" spans="1:2" ht="33.75" customHeight="1" x14ac:dyDescent="0.25">
      <c r="B11" s="4" t="s">
        <v>8</v>
      </c>
    </row>
    <row r="12" spans="1:2" ht="33.75" customHeight="1" x14ac:dyDescent="0.25">
      <c r="B12" s="4" t="s">
        <v>9</v>
      </c>
    </row>
    <row r="13" spans="1:2" ht="33.75" customHeight="1" x14ac:dyDescent="0.25">
      <c r="B13" s="4" t="s">
        <v>10</v>
      </c>
    </row>
    <row r="15" spans="1:2" ht="15.75" x14ac:dyDescent="0.25">
      <c r="B15" s="3" t="s">
        <v>11</v>
      </c>
    </row>
    <row r="16" spans="1:2" x14ac:dyDescent="0.25">
      <c r="A16" s="5"/>
      <c r="B16" s="6" t="s">
        <v>12</v>
      </c>
    </row>
    <row r="17" spans="1:2" x14ac:dyDescent="0.25">
      <c r="A17" s="7"/>
      <c r="B17" s="6" t="s">
        <v>13</v>
      </c>
    </row>
    <row r="18" spans="1:2" x14ac:dyDescent="0.25">
      <c r="A18" s="8"/>
      <c r="B18" s="6" t="s">
        <v>14</v>
      </c>
    </row>
    <row r="19" spans="1:2" x14ac:dyDescent="0.25">
      <c r="A19" s="9"/>
      <c r="B19" s="6" t="s">
        <v>15</v>
      </c>
    </row>
    <row r="20" spans="1:2" x14ac:dyDescent="0.25">
      <c r="A20" s="10"/>
      <c r="B20" s="6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showGridLines="0" zoomScaleNormal="100" workbookViewId="0"/>
  </sheetViews>
  <sheetFormatPr baseColWidth="10" defaultColWidth="8.7109375" defaultRowHeight="15" x14ac:dyDescent="0.25"/>
  <cols>
    <col min="1" max="1" width="34" customWidth="1"/>
  </cols>
  <sheetData>
    <row r="1" spans="1:1" x14ac:dyDescent="0.25">
      <c r="A1" s="11" t="s">
        <v>17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8"/>
  <sheetViews>
    <sheetView showGridLines="0" zoomScaleNormal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7109375" defaultRowHeight="15" x14ac:dyDescent="0.25"/>
  <cols>
    <col min="1" max="1" width="6" customWidth="1"/>
    <col min="2" max="2" width="32" customWidth="1"/>
    <col min="3" max="3" width="22" customWidth="1"/>
    <col min="4" max="4" width="16" customWidth="1"/>
    <col min="5" max="8" width="14" customWidth="1"/>
    <col min="9" max="9" width="10" customWidth="1"/>
    <col min="10" max="10" width="12" customWidth="1"/>
    <col min="11" max="11" width="14" customWidth="1"/>
    <col min="14" max="20" width="13" hidden="1" customWidth="1"/>
  </cols>
  <sheetData>
    <row r="1" spans="1:20" ht="24" customHeight="1" x14ac:dyDescent="0.25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20" x14ac:dyDescent="0.25">
      <c r="A3" s="12" t="s">
        <v>23</v>
      </c>
    </row>
    <row r="4" spans="1:20" x14ac:dyDescent="0.25">
      <c r="A4" s="13" t="s">
        <v>24</v>
      </c>
      <c r="B4" s="14">
        <v>0.25</v>
      </c>
    </row>
    <row r="5" spans="1:20" x14ac:dyDescent="0.25">
      <c r="A5" s="13" t="s">
        <v>25</v>
      </c>
      <c r="B5" s="14">
        <v>0.25</v>
      </c>
    </row>
    <row r="6" spans="1:20" x14ac:dyDescent="0.25">
      <c r="A6" s="13" t="s">
        <v>26</v>
      </c>
      <c r="B6" s="14">
        <v>0.25</v>
      </c>
    </row>
    <row r="7" spans="1:20" x14ac:dyDescent="0.25">
      <c r="A7" s="13" t="s">
        <v>27</v>
      </c>
      <c r="B7" s="14">
        <v>0.25</v>
      </c>
    </row>
    <row r="8" spans="1:20" x14ac:dyDescent="0.25">
      <c r="A8" s="15" t="s">
        <v>28</v>
      </c>
      <c r="B8" s="16">
        <f>SUM(B4:B7)</f>
        <v>1</v>
      </c>
    </row>
    <row r="11" spans="1:20" ht="36" customHeight="1" x14ac:dyDescent="0.25">
      <c r="A11" s="17" t="s">
        <v>29</v>
      </c>
      <c r="B11" s="17" t="s">
        <v>30</v>
      </c>
      <c r="C11" s="17" t="s">
        <v>17</v>
      </c>
      <c r="D11" s="17" t="s">
        <v>31</v>
      </c>
      <c r="E11" s="17" t="s">
        <v>32</v>
      </c>
      <c r="F11" s="17" t="s">
        <v>33</v>
      </c>
      <c r="G11" s="17" t="s">
        <v>34</v>
      </c>
      <c r="H11" s="17" t="s">
        <v>35</v>
      </c>
      <c r="I11" s="17" t="s">
        <v>36</v>
      </c>
      <c r="J11" s="17" t="s">
        <v>37</v>
      </c>
      <c r="K11" s="17" t="s">
        <v>38</v>
      </c>
      <c r="N11" s="18" t="s">
        <v>39</v>
      </c>
      <c r="O11" s="18" t="s">
        <v>40</v>
      </c>
      <c r="P11" s="18" t="s">
        <v>41</v>
      </c>
      <c r="Q11" s="18" t="s">
        <v>42</v>
      </c>
      <c r="R11" s="18" t="s">
        <v>43</v>
      </c>
      <c r="S11" s="18" t="s">
        <v>44</v>
      </c>
      <c r="T11" s="18" t="s">
        <v>45</v>
      </c>
    </row>
    <row r="12" spans="1:20" ht="25.5" x14ac:dyDescent="0.25">
      <c r="A12" s="19">
        <v>0</v>
      </c>
      <c r="B12" s="20" t="s">
        <v>46</v>
      </c>
      <c r="C12" s="19" t="s">
        <v>18</v>
      </c>
      <c r="D12" s="21">
        <v>15000</v>
      </c>
      <c r="E12" s="22">
        <v>8</v>
      </c>
      <c r="F12" s="19">
        <v>4</v>
      </c>
      <c r="G12" s="22">
        <v>10</v>
      </c>
      <c r="H12" s="23">
        <f t="shared" ref="H12:H43" si="0">IF(OR(D12="",E12="",F12="",G12=""),"",$B$4*(IF($O$12=$N$12,0,(D12-$N$12)/($O$12-$N$12)))+$B$5*(IF($Q$12=$P$12,0,(E12-$P$12)/($Q$12-$P$12)))+$B$6*((F12-1)/4)+$B$7*(IF($S$12=$R$12,0,(G12-$R$12)/($S$12-$R$12))))</f>
        <v>0.64755164452553737</v>
      </c>
      <c r="I12" s="19">
        <f t="shared" ref="I12:I43" si="1">IF(T12="","",RANK(T12,$T$12:$T$78,0))</f>
        <v>1</v>
      </c>
      <c r="J12" s="24">
        <f t="shared" ref="J12:J43" si="2">IF(I12="","",SUMIFS($H$12:$H$78,$I$12:$I$78,"&lt;="&amp;I12)/SUM($H$12:$H$78))</f>
        <v>0.19119054884189141</v>
      </c>
      <c r="K12" s="19" t="str">
        <f t="shared" ref="K12:K43" si="3">IF(J12="","",IF(J12&lt;=0.8,"A",IF(J12&lt;=0.95,"B","C")))</f>
        <v>A</v>
      </c>
      <c r="N12" s="18">
        <f>MIN(D12:D77)</f>
        <v>4749.8999999999996</v>
      </c>
      <c r="O12" s="18">
        <f>MAX(D12:D77)</f>
        <v>142800</v>
      </c>
      <c r="P12" s="18">
        <f>MIN(E12:E77)</f>
        <v>0.08</v>
      </c>
      <c r="Q12" s="18">
        <f>MAX(E12:E77)</f>
        <v>10.42</v>
      </c>
      <c r="R12" s="18">
        <f>MIN(G12:G77)</f>
        <v>5</v>
      </c>
      <c r="S12" s="18">
        <f>MAX(G12:G77)</f>
        <v>10</v>
      </c>
      <c r="T12" s="18">
        <f t="shared" ref="T12:T43" si="4">IF(H12="","",H12+ROW()/100000000)</f>
        <v>0.64755176452553742</v>
      </c>
    </row>
    <row r="13" spans="1:20" x14ac:dyDescent="0.25">
      <c r="A13" s="25">
        <v>1</v>
      </c>
      <c r="B13" s="26" t="s">
        <v>47</v>
      </c>
      <c r="C13" s="25"/>
      <c r="D13" s="27"/>
      <c r="E13" s="28"/>
      <c r="F13" s="29"/>
      <c r="G13" s="28"/>
      <c r="H13" s="30" t="str">
        <f t="shared" si="0"/>
        <v/>
      </c>
      <c r="I13" s="25" t="str">
        <f t="shared" si="1"/>
        <v/>
      </c>
      <c r="J13" s="31" t="str">
        <f t="shared" si="2"/>
        <v/>
      </c>
      <c r="K13" s="25" t="str">
        <f t="shared" si="3"/>
        <v/>
      </c>
      <c r="T13" t="str">
        <f t="shared" si="4"/>
        <v/>
      </c>
    </row>
    <row r="14" spans="1:20" x14ac:dyDescent="0.25">
      <c r="A14" s="25">
        <v>2</v>
      </c>
      <c r="B14" s="26" t="s">
        <v>48</v>
      </c>
      <c r="C14" s="25"/>
      <c r="D14" s="27"/>
      <c r="E14" s="28"/>
      <c r="F14" s="29"/>
      <c r="G14" s="28"/>
      <c r="H14" s="30" t="str">
        <f t="shared" si="0"/>
        <v/>
      </c>
      <c r="I14" s="25" t="str">
        <f t="shared" si="1"/>
        <v/>
      </c>
      <c r="J14" s="31" t="str">
        <f t="shared" si="2"/>
        <v/>
      </c>
      <c r="K14" s="25" t="str">
        <f t="shared" si="3"/>
        <v/>
      </c>
      <c r="T14" t="str">
        <f t="shared" si="4"/>
        <v/>
      </c>
    </row>
    <row r="15" spans="1:20" x14ac:dyDescent="0.25">
      <c r="A15" s="25">
        <v>3</v>
      </c>
      <c r="B15" s="26" t="s">
        <v>49</v>
      </c>
      <c r="C15" s="25"/>
      <c r="D15" s="27"/>
      <c r="E15" s="28"/>
      <c r="F15" s="29"/>
      <c r="G15" s="28"/>
      <c r="H15" s="30" t="str">
        <f t="shared" si="0"/>
        <v/>
      </c>
      <c r="I15" s="25" t="str">
        <f t="shared" si="1"/>
        <v/>
      </c>
      <c r="J15" s="31" t="str">
        <f t="shared" si="2"/>
        <v/>
      </c>
      <c r="K15" s="25" t="str">
        <f t="shared" si="3"/>
        <v/>
      </c>
      <c r="T15" t="str">
        <f t="shared" si="4"/>
        <v/>
      </c>
    </row>
    <row r="16" spans="1:20" x14ac:dyDescent="0.25">
      <c r="A16" s="25">
        <v>4</v>
      </c>
      <c r="B16" s="26" t="s">
        <v>50</v>
      </c>
      <c r="C16" s="25"/>
      <c r="D16" s="27"/>
      <c r="E16" s="28"/>
      <c r="F16" s="29"/>
      <c r="G16" s="28"/>
      <c r="H16" s="30" t="str">
        <f t="shared" si="0"/>
        <v/>
      </c>
      <c r="I16" s="25" t="str">
        <f t="shared" si="1"/>
        <v/>
      </c>
      <c r="J16" s="31" t="str">
        <f t="shared" si="2"/>
        <v/>
      </c>
      <c r="K16" s="25" t="str">
        <f t="shared" si="3"/>
        <v/>
      </c>
      <c r="T16" t="str">
        <f t="shared" si="4"/>
        <v/>
      </c>
    </row>
    <row r="17" spans="1:20" x14ac:dyDescent="0.25">
      <c r="A17" s="25">
        <v>5</v>
      </c>
      <c r="B17" s="26" t="s">
        <v>51</v>
      </c>
      <c r="C17" s="25"/>
      <c r="D17" s="27"/>
      <c r="E17" s="28"/>
      <c r="F17" s="29"/>
      <c r="G17" s="28"/>
      <c r="H17" s="30" t="str">
        <f t="shared" si="0"/>
        <v/>
      </c>
      <c r="I17" s="25" t="str">
        <f t="shared" si="1"/>
        <v/>
      </c>
      <c r="J17" s="31" t="str">
        <f t="shared" si="2"/>
        <v/>
      </c>
      <c r="K17" s="25" t="str">
        <f t="shared" si="3"/>
        <v/>
      </c>
      <c r="T17" t="str">
        <f t="shared" si="4"/>
        <v/>
      </c>
    </row>
    <row r="18" spans="1:20" x14ac:dyDescent="0.25">
      <c r="A18" s="25">
        <v>6</v>
      </c>
      <c r="B18" s="26" t="s">
        <v>52</v>
      </c>
      <c r="C18" s="25"/>
      <c r="D18" s="27"/>
      <c r="E18" s="28"/>
      <c r="F18" s="29"/>
      <c r="G18" s="28"/>
      <c r="H18" s="30" t="str">
        <f t="shared" si="0"/>
        <v/>
      </c>
      <c r="I18" s="25" t="str">
        <f t="shared" si="1"/>
        <v/>
      </c>
      <c r="J18" s="31" t="str">
        <f t="shared" si="2"/>
        <v/>
      </c>
      <c r="K18" s="25" t="str">
        <f t="shared" si="3"/>
        <v/>
      </c>
      <c r="T18" t="str">
        <f t="shared" si="4"/>
        <v/>
      </c>
    </row>
    <row r="19" spans="1:20" x14ac:dyDescent="0.25">
      <c r="A19" s="25">
        <v>7</v>
      </c>
      <c r="B19" s="26" t="s">
        <v>53</v>
      </c>
      <c r="C19" s="25"/>
      <c r="D19" s="27"/>
      <c r="E19" s="28"/>
      <c r="F19" s="29"/>
      <c r="G19" s="28"/>
      <c r="H19" s="30" t="str">
        <f t="shared" si="0"/>
        <v/>
      </c>
      <c r="I19" s="25" t="str">
        <f t="shared" si="1"/>
        <v/>
      </c>
      <c r="J19" s="31" t="str">
        <f t="shared" si="2"/>
        <v/>
      </c>
      <c r="K19" s="25" t="str">
        <f t="shared" si="3"/>
        <v/>
      </c>
      <c r="T19" t="str">
        <f t="shared" si="4"/>
        <v/>
      </c>
    </row>
    <row r="20" spans="1:20" x14ac:dyDescent="0.25">
      <c r="A20" s="25">
        <v>8</v>
      </c>
      <c r="B20" s="26" t="s">
        <v>54</v>
      </c>
      <c r="C20" s="25"/>
      <c r="D20" s="27"/>
      <c r="E20" s="28"/>
      <c r="F20" s="29"/>
      <c r="G20" s="28"/>
      <c r="H20" s="30" t="str">
        <f t="shared" si="0"/>
        <v/>
      </c>
      <c r="I20" s="25" t="str">
        <f t="shared" si="1"/>
        <v/>
      </c>
      <c r="J20" s="31" t="str">
        <f t="shared" si="2"/>
        <v/>
      </c>
      <c r="K20" s="25" t="str">
        <f t="shared" si="3"/>
        <v/>
      </c>
      <c r="T20" t="str">
        <f t="shared" si="4"/>
        <v/>
      </c>
    </row>
    <row r="21" spans="1:20" x14ac:dyDescent="0.25">
      <c r="A21" s="25">
        <v>9</v>
      </c>
      <c r="B21" s="26" t="s">
        <v>55</v>
      </c>
      <c r="C21" s="25"/>
      <c r="D21" s="27"/>
      <c r="E21" s="28"/>
      <c r="F21" s="29"/>
      <c r="G21" s="28"/>
      <c r="H21" s="30" t="str">
        <f t="shared" si="0"/>
        <v/>
      </c>
      <c r="I21" s="25" t="str">
        <f t="shared" si="1"/>
        <v/>
      </c>
      <c r="J21" s="31" t="str">
        <f t="shared" si="2"/>
        <v/>
      </c>
      <c r="K21" s="25" t="str">
        <f t="shared" si="3"/>
        <v/>
      </c>
      <c r="T21" t="str">
        <f t="shared" si="4"/>
        <v/>
      </c>
    </row>
    <row r="22" spans="1:20" x14ac:dyDescent="0.25">
      <c r="A22" s="25">
        <v>10</v>
      </c>
      <c r="B22" s="26" t="s">
        <v>56</v>
      </c>
      <c r="C22" s="25"/>
      <c r="D22" s="27"/>
      <c r="E22" s="28"/>
      <c r="F22" s="29"/>
      <c r="G22" s="28"/>
      <c r="H22" s="30" t="str">
        <f t="shared" si="0"/>
        <v/>
      </c>
      <c r="I22" s="25" t="str">
        <f t="shared" si="1"/>
        <v/>
      </c>
      <c r="J22" s="31" t="str">
        <f t="shared" si="2"/>
        <v/>
      </c>
      <c r="K22" s="25" t="str">
        <f t="shared" si="3"/>
        <v/>
      </c>
      <c r="T22" t="str">
        <f t="shared" si="4"/>
        <v/>
      </c>
    </row>
    <row r="23" spans="1:20" x14ac:dyDescent="0.25">
      <c r="A23" s="25">
        <v>11</v>
      </c>
      <c r="B23" s="26" t="s">
        <v>57</v>
      </c>
      <c r="C23" s="25"/>
      <c r="D23" s="27"/>
      <c r="E23" s="28"/>
      <c r="F23" s="29"/>
      <c r="G23" s="28"/>
      <c r="H23" s="30" t="str">
        <f t="shared" si="0"/>
        <v/>
      </c>
      <c r="I23" s="25" t="str">
        <f t="shared" si="1"/>
        <v/>
      </c>
      <c r="J23" s="31" t="str">
        <f t="shared" si="2"/>
        <v/>
      </c>
      <c r="K23" s="25" t="str">
        <f t="shared" si="3"/>
        <v/>
      </c>
      <c r="T23" t="str">
        <f t="shared" si="4"/>
        <v/>
      </c>
    </row>
    <row r="24" spans="1:20" x14ac:dyDescent="0.25">
      <c r="A24" s="25">
        <v>12</v>
      </c>
      <c r="B24" s="26" t="s">
        <v>58</v>
      </c>
      <c r="C24" s="25"/>
      <c r="D24" s="27"/>
      <c r="E24" s="28"/>
      <c r="F24" s="29"/>
      <c r="G24" s="28"/>
      <c r="H24" s="30" t="str">
        <f t="shared" si="0"/>
        <v/>
      </c>
      <c r="I24" s="25" t="str">
        <f t="shared" si="1"/>
        <v/>
      </c>
      <c r="J24" s="31" t="str">
        <f t="shared" si="2"/>
        <v/>
      </c>
      <c r="K24" s="25" t="str">
        <f t="shared" si="3"/>
        <v/>
      </c>
      <c r="T24" t="str">
        <f t="shared" si="4"/>
        <v/>
      </c>
    </row>
    <row r="25" spans="1:20" x14ac:dyDescent="0.25">
      <c r="A25" s="25">
        <v>13</v>
      </c>
      <c r="B25" s="26" t="s">
        <v>59</v>
      </c>
      <c r="C25" s="25"/>
      <c r="D25" s="27"/>
      <c r="E25" s="28"/>
      <c r="F25" s="29"/>
      <c r="G25" s="28"/>
      <c r="H25" s="30" t="str">
        <f t="shared" si="0"/>
        <v/>
      </c>
      <c r="I25" s="25" t="str">
        <f t="shared" si="1"/>
        <v/>
      </c>
      <c r="J25" s="31" t="str">
        <f t="shared" si="2"/>
        <v/>
      </c>
      <c r="K25" s="25" t="str">
        <f t="shared" si="3"/>
        <v/>
      </c>
      <c r="T25" t="str">
        <f t="shared" si="4"/>
        <v/>
      </c>
    </row>
    <row r="26" spans="1:20" x14ac:dyDescent="0.25">
      <c r="A26" s="25">
        <v>14</v>
      </c>
      <c r="B26" s="26" t="s">
        <v>60</v>
      </c>
      <c r="C26" s="25"/>
      <c r="D26" s="27"/>
      <c r="E26" s="28"/>
      <c r="F26" s="29"/>
      <c r="G26" s="28"/>
      <c r="H26" s="30" t="str">
        <f t="shared" si="0"/>
        <v/>
      </c>
      <c r="I26" s="25" t="str">
        <f t="shared" si="1"/>
        <v/>
      </c>
      <c r="J26" s="31" t="str">
        <f t="shared" si="2"/>
        <v/>
      </c>
      <c r="K26" s="25" t="str">
        <f t="shared" si="3"/>
        <v/>
      </c>
      <c r="T26" t="str">
        <f t="shared" si="4"/>
        <v/>
      </c>
    </row>
    <row r="27" spans="1:20" x14ac:dyDescent="0.25">
      <c r="A27" s="25">
        <v>15</v>
      </c>
      <c r="B27" s="26" t="s">
        <v>61</v>
      </c>
      <c r="C27" s="25"/>
      <c r="D27" s="27"/>
      <c r="E27" s="28"/>
      <c r="F27" s="29"/>
      <c r="G27" s="28"/>
      <c r="H27" s="30" t="str">
        <f t="shared" si="0"/>
        <v/>
      </c>
      <c r="I27" s="25" t="str">
        <f t="shared" si="1"/>
        <v/>
      </c>
      <c r="J27" s="31" t="str">
        <f t="shared" si="2"/>
        <v/>
      </c>
      <c r="K27" s="25" t="str">
        <f t="shared" si="3"/>
        <v/>
      </c>
      <c r="T27" t="str">
        <f t="shared" si="4"/>
        <v/>
      </c>
    </row>
    <row r="28" spans="1:20" x14ac:dyDescent="0.25">
      <c r="A28" s="25">
        <v>16</v>
      </c>
      <c r="B28" s="26" t="s">
        <v>62</v>
      </c>
      <c r="C28" s="25"/>
      <c r="D28" s="27"/>
      <c r="E28" s="28"/>
      <c r="F28" s="29"/>
      <c r="G28" s="28"/>
      <c r="H28" s="30" t="str">
        <f t="shared" si="0"/>
        <v/>
      </c>
      <c r="I28" s="25" t="str">
        <f t="shared" si="1"/>
        <v/>
      </c>
      <c r="J28" s="31" t="str">
        <f t="shared" si="2"/>
        <v/>
      </c>
      <c r="K28" s="25" t="str">
        <f t="shared" si="3"/>
        <v/>
      </c>
      <c r="T28" t="str">
        <f t="shared" si="4"/>
        <v/>
      </c>
    </row>
    <row r="29" spans="1:20" x14ac:dyDescent="0.25">
      <c r="A29" s="25">
        <v>17</v>
      </c>
      <c r="B29" s="26" t="s">
        <v>63</v>
      </c>
      <c r="C29" s="25"/>
      <c r="D29" s="27"/>
      <c r="E29" s="28"/>
      <c r="F29" s="29"/>
      <c r="G29" s="28"/>
      <c r="H29" s="30" t="str">
        <f t="shared" si="0"/>
        <v/>
      </c>
      <c r="I29" s="25" t="str">
        <f t="shared" si="1"/>
        <v/>
      </c>
      <c r="J29" s="31" t="str">
        <f t="shared" si="2"/>
        <v/>
      </c>
      <c r="K29" s="25" t="str">
        <f t="shared" si="3"/>
        <v/>
      </c>
      <c r="T29" t="str">
        <f t="shared" si="4"/>
        <v/>
      </c>
    </row>
    <row r="30" spans="1:20" x14ac:dyDescent="0.25">
      <c r="A30" s="25">
        <v>18</v>
      </c>
      <c r="B30" s="26" t="s">
        <v>64</v>
      </c>
      <c r="C30" s="25"/>
      <c r="D30" s="27"/>
      <c r="E30" s="28"/>
      <c r="F30" s="29"/>
      <c r="G30" s="28"/>
      <c r="H30" s="30" t="str">
        <f t="shared" si="0"/>
        <v/>
      </c>
      <c r="I30" s="25" t="str">
        <f t="shared" si="1"/>
        <v/>
      </c>
      <c r="J30" s="31" t="str">
        <f t="shared" si="2"/>
        <v/>
      </c>
      <c r="K30" s="25" t="str">
        <f t="shared" si="3"/>
        <v/>
      </c>
      <c r="T30" t="str">
        <f t="shared" si="4"/>
        <v/>
      </c>
    </row>
    <row r="31" spans="1:20" x14ac:dyDescent="0.25">
      <c r="A31" s="25">
        <v>19</v>
      </c>
      <c r="B31" s="26" t="s">
        <v>65</v>
      </c>
      <c r="C31" s="25"/>
      <c r="D31" s="27"/>
      <c r="E31" s="28"/>
      <c r="F31" s="29"/>
      <c r="G31" s="28"/>
      <c r="H31" s="30" t="str">
        <f t="shared" si="0"/>
        <v/>
      </c>
      <c r="I31" s="25" t="str">
        <f t="shared" si="1"/>
        <v/>
      </c>
      <c r="J31" s="31" t="str">
        <f t="shared" si="2"/>
        <v/>
      </c>
      <c r="K31" s="25" t="str">
        <f t="shared" si="3"/>
        <v/>
      </c>
      <c r="T31" t="str">
        <f t="shared" si="4"/>
        <v/>
      </c>
    </row>
    <row r="32" spans="1:20" x14ac:dyDescent="0.25">
      <c r="A32" s="25">
        <v>20</v>
      </c>
      <c r="B32" s="26" t="s">
        <v>66</v>
      </c>
      <c r="C32" s="25"/>
      <c r="D32" s="27"/>
      <c r="E32" s="28"/>
      <c r="F32" s="29"/>
      <c r="G32" s="28"/>
      <c r="H32" s="30" t="str">
        <f t="shared" si="0"/>
        <v/>
      </c>
      <c r="I32" s="25" t="str">
        <f t="shared" si="1"/>
        <v/>
      </c>
      <c r="J32" s="31" t="str">
        <f t="shared" si="2"/>
        <v/>
      </c>
      <c r="K32" s="25" t="str">
        <f t="shared" si="3"/>
        <v/>
      </c>
      <c r="T32" t="str">
        <f t="shared" si="4"/>
        <v/>
      </c>
    </row>
    <row r="33" spans="1:20" x14ac:dyDescent="0.25">
      <c r="A33" s="25">
        <v>21</v>
      </c>
      <c r="B33" s="26" t="s">
        <v>67</v>
      </c>
      <c r="C33" s="25"/>
      <c r="D33" s="27"/>
      <c r="E33" s="28"/>
      <c r="F33" s="29"/>
      <c r="G33" s="28"/>
      <c r="H33" s="30" t="str">
        <f t="shared" si="0"/>
        <v/>
      </c>
      <c r="I33" s="25" t="str">
        <f t="shared" si="1"/>
        <v/>
      </c>
      <c r="J33" s="31" t="str">
        <f t="shared" si="2"/>
        <v/>
      </c>
      <c r="K33" s="25" t="str">
        <f t="shared" si="3"/>
        <v/>
      </c>
      <c r="T33" t="str">
        <f t="shared" si="4"/>
        <v/>
      </c>
    </row>
    <row r="34" spans="1:20" x14ac:dyDescent="0.25">
      <c r="A34" s="25">
        <v>22</v>
      </c>
      <c r="B34" s="26" t="s">
        <v>68</v>
      </c>
      <c r="C34" s="25"/>
      <c r="D34" s="27"/>
      <c r="E34" s="28"/>
      <c r="F34" s="29"/>
      <c r="G34" s="28"/>
      <c r="H34" s="30" t="str">
        <f t="shared" si="0"/>
        <v/>
      </c>
      <c r="I34" s="25" t="str">
        <f t="shared" si="1"/>
        <v/>
      </c>
      <c r="J34" s="31" t="str">
        <f t="shared" si="2"/>
        <v/>
      </c>
      <c r="K34" s="25" t="str">
        <f t="shared" si="3"/>
        <v/>
      </c>
      <c r="T34" t="str">
        <f t="shared" si="4"/>
        <v/>
      </c>
    </row>
    <row r="35" spans="1:20" x14ac:dyDescent="0.25">
      <c r="A35" s="25">
        <v>23</v>
      </c>
      <c r="B35" s="26" t="s">
        <v>69</v>
      </c>
      <c r="C35" s="25"/>
      <c r="D35" s="27"/>
      <c r="E35" s="28"/>
      <c r="F35" s="29"/>
      <c r="G35" s="28"/>
      <c r="H35" s="30" t="str">
        <f t="shared" si="0"/>
        <v/>
      </c>
      <c r="I35" s="25" t="str">
        <f t="shared" si="1"/>
        <v/>
      </c>
      <c r="J35" s="31" t="str">
        <f t="shared" si="2"/>
        <v/>
      </c>
      <c r="K35" s="25" t="str">
        <f t="shared" si="3"/>
        <v/>
      </c>
      <c r="T35" t="str">
        <f t="shared" si="4"/>
        <v/>
      </c>
    </row>
    <row r="36" spans="1:20" x14ac:dyDescent="0.25">
      <c r="A36" s="25">
        <v>24</v>
      </c>
      <c r="B36" s="26" t="s">
        <v>70</v>
      </c>
      <c r="C36" s="25"/>
      <c r="D36" s="27"/>
      <c r="E36" s="28"/>
      <c r="F36" s="29"/>
      <c r="G36" s="28"/>
      <c r="H36" s="30" t="str">
        <f t="shared" si="0"/>
        <v/>
      </c>
      <c r="I36" s="25" t="str">
        <f t="shared" si="1"/>
        <v/>
      </c>
      <c r="J36" s="31" t="str">
        <f t="shared" si="2"/>
        <v/>
      </c>
      <c r="K36" s="25" t="str">
        <f t="shared" si="3"/>
        <v/>
      </c>
      <c r="T36" t="str">
        <f t="shared" si="4"/>
        <v/>
      </c>
    </row>
    <row r="37" spans="1:20" x14ac:dyDescent="0.25">
      <c r="A37" s="25">
        <v>25</v>
      </c>
      <c r="B37" s="26" t="s">
        <v>71</v>
      </c>
      <c r="C37" s="25"/>
      <c r="D37" s="27"/>
      <c r="E37" s="28"/>
      <c r="F37" s="29"/>
      <c r="G37" s="28"/>
      <c r="H37" s="30" t="str">
        <f t="shared" si="0"/>
        <v/>
      </c>
      <c r="I37" s="25" t="str">
        <f t="shared" si="1"/>
        <v/>
      </c>
      <c r="J37" s="31" t="str">
        <f t="shared" si="2"/>
        <v/>
      </c>
      <c r="K37" s="25" t="str">
        <f t="shared" si="3"/>
        <v/>
      </c>
      <c r="T37" t="str">
        <f t="shared" si="4"/>
        <v/>
      </c>
    </row>
    <row r="38" spans="1:20" ht="25.5" x14ac:dyDescent="0.25">
      <c r="A38" s="25">
        <v>26</v>
      </c>
      <c r="B38" s="26" t="s">
        <v>72</v>
      </c>
      <c r="C38" s="25"/>
      <c r="D38" s="27"/>
      <c r="E38" s="28"/>
      <c r="F38" s="29"/>
      <c r="G38" s="28"/>
      <c r="H38" s="30" t="str">
        <f t="shared" si="0"/>
        <v/>
      </c>
      <c r="I38" s="25" t="str">
        <f t="shared" si="1"/>
        <v/>
      </c>
      <c r="J38" s="31" t="str">
        <f t="shared" si="2"/>
        <v/>
      </c>
      <c r="K38" s="25" t="str">
        <f t="shared" si="3"/>
        <v/>
      </c>
      <c r="T38" t="str">
        <f t="shared" si="4"/>
        <v/>
      </c>
    </row>
    <row r="39" spans="1:20" x14ac:dyDescent="0.25">
      <c r="A39" s="25">
        <v>27</v>
      </c>
      <c r="B39" s="26" t="s">
        <v>73</v>
      </c>
      <c r="C39" s="25"/>
      <c r="D39" s="27"/>
      <c r="E39" s="28"/>
      <c r="F39" s="29"/>
      <c r="G39" s="28"/>
      <c r="H39" s="30" t="str">
        <f t="shared" si="0"/>
        <v/>
      </c>
      <c r="I39" s="25" t="str">
        <f t="shared" si="1"/>
        <v/>
      </c>
      <c r="J39" s="31" t="str">
        <f t="shared" si="2"/>
        <v/>
      </c>
      <c r="K39" s="25" t="str">
        <f t="shared" si="3"/>
        <v/>
      </c>
      <c r="T39" t="str">
        <f t="shared" si="4"/>
        <v/>
      </c>
    </row>
    <row r="40" spans="1:20" x14ac:dyDescent="0.25">
      <c r="A40" s="25">
        <v>28</v>
      </c>
      <c r="B40" s="26" t="s">
        <v>74</v>
      </c>
      <c r="C40" s="25"/>
      <c r="D40" s="27"/>
      <c r="E40" s="28"/>
      <c r="F40" s="29"/>
      <c r="G40" s="28"/>
      <c r="H40" s="30" t="str">
        <f t="shared" si="0"/>
        <v/>
      </c>
      <c r="I40" s="25" t="str">
        <f t="shared" si="1"/>
        <v/>
      </c>
      <c r="J40" s="31" t="str">
        <f t="shared" si="2"/>
        <v/>
      </c>
      <c r="K40" s="25" t="str">
        <f t="shared" si="3"/>
        <v/>
      </c>
      <c r="T40" t="str">
        <f t="shared" si="4"/>
        <v/>
      </c>
    </row>
    <row r="41" spans="1:20" x14ac:dyDescent="0.25">
      <c r="A41" s="25">
        <v>29</v>
      </c>
      <c r="B41" s="26" t="s">
        <v>75</v>
      </c>
      <c r="C41" s="25"/>
      <c r="D41" s="27"/>
      <c r="E41" s="28"/>
      <c r="F41" s="29"/>
      <c r="G41" s="28"/>
      <c r="H41" s="30" t="str">
        <f t="shared" si="0"/>
        <v/>
      </c>
      <c r="I41" s="25" t="str">
        <f t="shared" si="1"/>
        <v/>
      </c>
      <c r="J41" s="31" t="str">
        <f t="shared" si="2"/>
        <v/>
      </c>
      <c r="K41" s="25" t="str">
        <f t="shared" si="3"/>
        <v/>
      </c>
      <c r="T41" t="str">
        <f t="shared" si="4"/>
        <v/>
      </c>
    </row>
    <row r="42" spans="1:20" x14ac:dyDescent="0.25">
      <c r="A42" s="25">
        <v>30</v>
      </c>
      <c r="B42" s="26" t="s">
        <v>76</v>
      </c>
      <c r="C42" s="25"/>
      <c r="D42" s="27"/>
      <c r="E42" s="28"/>
      <c r="F42" s="29"/>
      <c r="G42" s="28"/>
      <c r="H42" s="30" t="str">
        <f t="shared" si="0"/>
        <v/>
      </c>
      <c r="I42" s="25" t="str">
        <f t="shared" si="1"/>
        <v/>
      </c>
      <c r="J42" s="31" t="str">
        <f t="shared" si="2"/>
        <v/>
      </c>
      <c r="K42" s="25" t="str">
        <f t="shared" si="3"/>
        <v/>
      </c>
      <c r="T42" t="str">
        <f t="shared" si="4"/>
        <v/>
      </c>
    </row>
    <row r="43" spans="1:20" x14ac:dyDescent="0.25">
      <c r="A43" s="25">
        <v>31</v>
      </c>
      <c r="B43" s="26" t="s">
        <v>77</v>
      </c>
      <c r="C43" s="25"/>
      <c r="D43" s="27"/>
      <c r="E43" s="28"/>
      <c r="F43" s="29"/>
      <c r="G43" s="28"/>
      <c r="H43" s="30" t="str">
        <f t="shared" si="0"/>
        <v/>
      </c>
      <c r="I43" s="25" t="str">
        <f t="shared" si="1"/>
        <v/>
      </c>
      <c r="J43" s="31" t="str">
        <f t="shared" si="2"/>
        <v/>
      </c>
      <c r="K43" s="25" t="str">
        <f t="shared" si="3"/>
        <v/>
      </c>
      <c r="T43" t="str">
        <f t="shared" si="4"/>
        <v/>
      </c>
    </row>
    <row r="44" spans="1:20" x14ac:dyDescent="0.25">
      <c r="A44" s="25">
        <v>32</v>
      </c>
      <c r="B44" s="26" t="s">
        <v>78</v>
      </c>
      <c r="C44" s="25"/>
      <c r="D44" s="27"/>
      <c r="E44" s="28"/>
      <c r="F44" s="29"/>
      <c r="G44" s="28"/>
      <c r="H44" s="30" t="str">
        <f t="shared" ref="H44:H75" si="5">IF(OR(D44="",E44="",F44="",G44=""),"",$B$4*(IF($O$12=$N$12,0,(D44-$N$12)/($O$12-$N$12)))+$B$5*(IF($Q$12=$P$12,0,(E44-$P$12)/($Q$12-$P$12)))+$B$6*((F44-1)/4)+$B$7*(IF($S$12=$R$12,0,(G44-$R$12)/($S$12-$R$12))))</f>
        <v/>
      </c>
      <c r="I44" s="25" t="str">
        <f t="shared" ref="I44:I78" si="6">IF(T44="","",RANK(T44,$T$12:$T$78,0))</f>
        <v/>
      </c>
      <c r="J44" s="31" t="str">
        <f t="shared" ref="J44:J75" si="7">IF(I44="","",SUMIFS($H$12:$H$78,$I$12:$I$78,"&lt;="&amp;I44)/SUM($H$12:$H$78))</f>
        <v/>
      </c>
      <c r="K44" s="25" t="str">
        <f t="shared" ref="K44:K75" si="8">IF(J44="","",IF(J44&lt;=0.8,"A",IF(J44&lt;=0.95,"B","C")))</f>
        <v/>
      </c>
      <c r="T44" t="str">
        <f t="shared" ref="T44:T78" si="9">IF(H44="","",H44+ROW()/100000000)</f>
        <v/>
      </c>
    </row>
    <row r="45" spans="1:20" x14ac:dyDescent="0.25">
      <c r="A45" s="25">
        <v>33</v>
      </c>
      <c r="B45" s="26" t="s">
        <v>79</v>
      </c>
      <c r="C45" s="25"/>
      <c r="D45" s="27"/>
      <c r="E45" s="28"/>
      <c r="F45" s="29"/>
      <c r="G45" s="28"/>
      <c r="H45" s="30" t="str">
        <f t="shared" si="5"/>
        <v/>
      </c>
      <c r="I45" s="25" t="str">
        <f t="shared" si="6"/>
        <v/>
      </c>
      <c r="J45" s="31" t="str">
        <f t="shared" si="7"/>
        <v/>
      </c>
      <c r="K45" s="25" t="str">
        <f t="shared" si="8"/>
        <v/>
      </c>
      <c r="T45" t="str">
        <f t="shared" si="9"/>
        <v/>
      </c>
    </row>
    <row r="46" spans="1:20" x14ac:dyDescent="0.25">
      <c r="A46" s="25">
        <v>34</v>
      </c>
      <c r="B46" s="26" t="s">
        <v>80</v>
      </c>
      <c r="C46" s="25"/>
      <c r="D46" s="27"/>
      <c r="E46" s="28"/>
      <c r="F46" s="29"/>
      <c r="G46" s="28"/>
      <c r="H46" s="30" t="str">
        <f t="shared" si="5"/>
        <v/>
      </c>
      <c r="I46" s="25" t="str">
        <f t="shared" si="6"/>
        <v/>
      </c>
      <c r="J46" s="31" t="str">
        <f t="shared" si="7"/>
        <v/>
      </c>
      <c r="K46" s="25" t="str">
        <f t="shared" si="8"/>
        <v/>
      </c>
      <c r="T46" t="str">
        <f t="shared" si="9"/>
        <v/>
      </c>
    </row>
    <row r="47" spans="1:20" x14ac:dyDescent="0.25">
      <c r="A47" s="25">
        <v>35</v>
      </c>
      <c r="B47" s="26" t="s">
        <v>81</v>
      </c>
      <c r="C47" s="25"/>
      <c r="D47" s="27"/>
      <c r="E47" s="28"/>
      <c r="F47" s="29"/>
      <c r="G47" s="28"/>
      <c r="H47" s="30" t="str">
        <f t="shared" si="5"/>
        <v/>
      </c>
      <c r="I47" s="25" t="str">
        <f t="shared" si="6"/>
        <v/>
      </c>
      <c r="J47" s="31" t="str">
        <f t="shared" si="7"/>
        <v/>
      </c>
      <c r="K47" s="25" t="str">
        <f t="shared" si="8"/>
        <v/>
      </c>
      <c r="T47" t="str">
        <f t="shared" si="9"/>
        <v/>
      </c>
    </row>
    <row r="48" spans="1:20" x14ac:dyDescent="0.25">
      <c r="A48" s="25">
        <v>36</v>
      </c>
      <c r="B48" s="26" t="s">
        <v>82</v>
      </c>
      <c r="C48" s="25"/>
      <c r="D48" s="27"/>
      <c r="E48" s="28"/>
      <c r="F48" s="29"/>
      <c r="G48" s="28"/>
      <c r="H48" s="30" t="str">
        <f t="shared" si="5"/>
        <v/>
      </c>
      <c r="I48" s="25" t="str">
        <f t="shared" si="6"/>
        <v/>
      </c>
      <c r="J48" s="31" t="str">
        <f t="shared" si="7"/>
        <v/>
      </c>
      <c r="K48" s="25" t="str">
        <f t="shared" si="8"/>
        <v/>
      </c>
      <c r="T48" t="str">
        <f t="shared" si="9"/>
        <v/>
      </c>
    </row>
    <row r="49" spans="1:20" ht="25.5" x14ac:dyDescent="0.25">
      <c r="A49" s="25">
        <v>37</v>
      </c>
      <c r="B49" s="26" t="s">
        <v>83</v>
      </c>
      <c r="C49" s="25" t="s">
        <v>19</v>
      </c>
      <c r="D49" s="27">
        <v>36860.25</v>
      </c>
      <c r="E49" s="28">
        <v>10.42</v>
      </c>
      <c r="F49" s="29">
        <v>5</v>
      </c>
      <c r="G49" s="28">
        <v>5</v>
      </c>
      <c r="H49" s="30">
        <f t="shared" si="5"/>
        <v>0.55814981300267075</v>
      </c>
      <c r="I49" s="25">
        <f t="shared" si="6"/>
        <v>2</v>
      </c>
      <c r="J49" s="31">
        <f t="shared" si="7"/>
        <v>0.35598507911008109</v>
      </c>
      <c r="K49" s="25" t="str">
        <f t="shared" si="8"/>
        <v>A</v>
      </c>
      <c r="T49" s="18">
        <f t="shared" si="9"/>
        <v>0.55815030300267077</v>
      </c>
    </row>
    <row r="50" spans="1:20" ht="25.5" x14ac:dyDescent="0.25">
      <c r="A50" s="25">
        <v>38</v>
      </c>
      <c r="B50" s="26" t="s">
        <v>84</v>
      </c>
      <c r="C50" s="25" t="s">
        <v>19</v>
      </c>
      <c r="D50" s="27">
        <v>37859.85</v>
      </c>
      <c r="E50" s="28">
        <v>4.17</v>
      </c>
      <c r="F50" s="29">
        <v>5</v>
      </c>
      <c r="G50" s="28">
        <v>5</v>
      </c>
      <c r="H50" s="30">
        <f t="shared" si="5"/>
        <v>0.40884783969543576</v>
      </c>
      <c r="I50" s="25">
        <f t="shared" si="6"/>
        <v>3</v>
      </c>
      <c r="J50" s="31">
        <f t="shared" si="7"/>
        <v>0.4766979883043212</v>
      </c>
      <c r="K50" s="25" t="str">
        <f t="shared" si="8"/>
        <v>A</v>
      </c>
      <c r="T50" s="18">
        <f t="shared" si="9"/>
        <v>0.40884833969543577</v>
      </c>
    </row>
    <row r="51" spans="1:20" ht="25.5" x14ac:dyDescent="0.25">
      <c r="A51" s="25">
        <v>39</v>
      </c>
      <c r="B51" s="26" t="s">
        <v>85</v>
      </c>
      <c r="C51" s="25" t="s">
        <v>19</v>
      </c>
      <c r="D51" s="27">
        <v>36860.25</v>
      </c>
      <c r="E51" s="28">
        <v>1.25</v>
      </c>
      <c r="F51" s="29">
        <v>5</v>
      </c>
      <c r="G51" s="28">
        <v>5</v>
      </c>
      <c r="H51" s="30">
        <f t="shared" si="5"/>
        <v>0.33643801416321234</v>
      </c>
      <c r="I51" s="25">
        <f t="shared" si="6"/>
        <v>4</v>
      </c>
      <c r="J51" s="31">
        <f t="shared" si="7"/>
        <v>0.57603179298683538</v>
      </c>
      <c r="K51" s="25" t="str">
        <f t="shared" si="8"/>
        <v>A</v>
      </c>
      <c r="T51" s="18">
        <f t="shared" si="9"/>
        <v>0.33643852416321235</v>
      </c>
    </row>
    <row r="52" spans="1:20" x14ac:dyDescent="0.25">
      <c r="A52" s="25">
        <v>40</v>
      </c>
      <c r="B52" s="26" t="s">
        <v>86</v>
      </c>
      <c r="C52" s="25" t="s">
        <v>18</v>
      </c>
      <c r="D52" s="27">
        <v>9460.5</v>
      </c>
      <c r="E52" s="28">
        <v>0.08</v>
      </c>
      <c r="F52" s="29"/>
      <c r="G52" s="28"/>
      <c r="H52" s="30" t="str">
        <f t="shared" si="5"/>
        <v/>
      </c>
      <c r="I52" s="25" t="str">
        <f t="shared" si="6"/>
        <v/>
      </c>
      <c r="J52" s="31" t="str">
        <f t="shared" si="7"/>
        <v/>
      </c>
      <c r="K52" s="25" t="str">
        <f t="shared" si="8"/>
        <v/>
      </c>
      <c r="T52" t="str">
        <f t="shared" si="9"/>
        <v/>
      </c>
    </row>
    <row r="53" spans="1:20" x14ac:dyDescent="0.25">
      <c r="A53" s="25">
        <v>41</v>
      </c>
      <c r="B53" s="26" t="s">
        <v>87</v>
      </c>
      <c r="C53" s="25" t="s">
        <v>18</v>
      </c>
      <c r="D53" s="27">
        <v>33302.15</v>
      </c>
      <c r="E53" s="28">
        <v>0.25</v>
      </c>
      <c r="F53" s="29"/>
      <c r="G53" s="28"/>
      <c r="H53" s="30" t="str">
        <f t="shared" si="5"/>
        <v/>
      </c>
      <c r="I53" s="25" t="str">
        <f t="shared" si="6"/>
        <v/>
      </c>
      <c r="J53" s="31" t="str">
        <f t="shared" si="7"/>
        <v/>
      </c>
      <c r="K53" s="25" t="str">
        <f t="shared" si="8"/>
        <v/>
      </c>
      <c r="T53" t="str">
        <f t="shared" si="9"/>
        <v/>
      </c>
    </row>
    <row r="54" spans="1:20" x14ac:dyDescent="0.25">
      <c r="A54" s="25">
        <v>42</v>
      </c>
      <c r="B54" s="26" t="s">
        <v>88</v>
      </c>
      <c r="C54" s="25" t="s">
        <v>18</v>
      </c>
      <c r="D54" s="27">
        <v>33837.65</v>
      </c>
      <c r="E54" s="28">
        <v>1.67</v>
      </c>
      <c r="F54" s="29"/>
      <c r="G54" s="28"/>
      <c r="H54" s="30" t="str">
        <f t="shared" si="5"/>
        <v/>
      </c>
      <c r="I54" s="25" t="str">
        <f t="shared" si="6"/>
        <v/>
      </c>
      <c r="J54" s="31" t="str">
        <f t="shared" si="7"/>
        <v/>
      </c>
      <c r="K54" s="25" t="str">
        <f t="shared" si="8"/>
        <v/>
      </c>
      <c r="T54" t="str">
        <f t="shared" si="9"/>
        <v/>
      </c>
    </row>
    <row r="55" spans="1:20" ht="25.5" x14ac:dyDescent="0.25">
      <c r="A55" s="25">
        <v>43</v>
      </c>
      <c r="B55" s="26" t="s">
        <v>89</v>
      </c>
      <c r="C55" s="25" t="s">
        <v>19</v>
      </c>
      <c r="D55" s="27">
        <v>26640.53</v>
      </c>
      <c r="E55" s="28">
        <v>0.83</v>
      </c>
      <c r="F55" s="29">
        <v>4</v>
      </c>
      <c r="G55" s="28">
        <v>5</v>
      </c>
      <c r="H55" s="30">
        <f t="shared" si="5"/>
        <v>0.24527600872024963</v>
      </c>
      <c r="I55" s="25">
        <f t="shared" si="6"/>
        <v>7</v>
      </c>
      <c r="J55" s="31">
        <f t="shared" si="7"/>
        <v>0.80729603210742906</v>
      </c>
      <c r="K55" s="25" t="str">
        <f t="shared" si="8"/>
        <v>B</v>
      </c>
      <c r="T55" s="18">
        <f t="shared" si="9"/>
        <v>0.24527655872024962</v>
      </c>
    </row>
    <row r="56" spans="1:20" ht="25.5" x14ac:dyDescent="0.25">
      <c r="A56" s="25">
        <v>44</v>
      </c>
      <c r="B56" s="26" t="s">
        <v>90</v>
      </c>
      <c r="C56" s="25" t="s">
        <v>19</v>
      </c>
      <c r="D56" s="27">
        <v>47600</v>
      </c>
      <c r="E56" s="28">
        <v>0.17</v>
      </c>
      <c r="F56" s="29"/>
      <c r="G56" s="28"/>
      <c r="H56" s="30" t="str">
        <f t="shared" si="5"/>
        <v/>
      </c>
      <c r="I56" s="25" t="str">
        <f t="shared" si="6"/>
        <v/>
      </c>
      <c r="J56" s="31" t="str">
        <f t="shared" si="7"/>
        <v/>
      </c>
      <c r="K56" s="25" t="str">
        <f t="shared" si="8"/>
        <v/>
      </c>
      <c r="T56" t="str">
        <f t="shared" si="9"/>
        <v/>
      </c>
    </row>
    <row r="57" spans="1:20" x14ac:dyDescent="0.25">
      <c r="A57" s="25">
        <v>45</v>
      </c>
      <c r="B57" s="26" t="s">
        <v>91</v>
      </c>
      <c r="C57" s="25" t="s">
        <v>18</v>
      </c>
      <c r="D57" s="27">
        <v>6842.5</v>
      </c>
      <c r="E57" s="28">
        <v>0.83</v>
      </c>
      <c r="F57" s="29"/>
      <c r="G57" s="28"/>
      <c r="H57" s="30" t="str">
        <f t="shared" si="5"/>
        <v/>
      </c>
      <c r="I57" s="25" t="str">
        <f t="shared" si="6"/>
        <v/>
      </c>
      <c r="J57" s="31" t="str">
        <f t="shared" si="7"/>
        <v/>
      </c>
      <c r="K57" s="25" t="str">
        <f t="shared" si="8"/>
        <v/>
      </c>
      <c r="T57" t="str">
        <f t="shared" si="9"/>
        <v/>
      </c>
    </row>
    <row r="58" spans="1:20" ht="25.5" x14ac:dyDescent="0.25">
      <c r="A58" s="25">
        <v>46</v>
      </c>
      <c r="B58" s="26" t="s">
        <v>92</v>
      </c>
      <c r="C58" s="25" t="s">
        <v>19</v>
      </c>
      <c r="D58" s="27">
        <v>9722.2999999999993</v>
      </c>
      <c r="E58" s="28">
        <v>1.67</v>
      </c>
      <c r="F58" s="29">
        <v>4</v>
      </c>
      <c r="G58" s="28">
        <v>5</v>
      </c>
      <c r="H58" s="30">
        <f t="shared" si="5"/>
        <v>0.23494764195487311</v>
      </c>
      <c r="I58" s="25">
        <f t="shared" si="6"/>
        <v>8</v>
      </c>
      <c r="J58" s="31">
        <f t="shared" si="7"/>
        <v>0.87666465929603454</v>
      </c>
      <c r="K58" s="25" t="str">
        <f t="shared" si="8"/>
        <v>B</v>
      </c>
      <c r="T58" s="18">
        <f t="shared" si="9"/>
        <v>0.23494822195487311</v>
      </c>
    </row>
    <row r="59" spans="1:20" ht="25.5" x14ac:dyDescent="0.25">
      <c r="A59" s="25">
        <v>47</v>
      </c>
      <c r="B59" s="26" t="s">
        <v>93</v>
      </c>
      <c r="C59" s="25" t="s">
        <v>19</v>
      </c>
      <c r="D59" s="27">
        <v>116203.5</v>
      </c>
      <c r="E59" s="28">
        <v>0.08</v>
      </c>
      <c r="F59" s="29"/>
      <c r="G59" s="28"/>
      <c r="H59" s="30" t="str">
        <f t="shared" si="5"/>
        <v/>
      </c>
      <c r="I59" s="25" t="str">
        <f t="shared" si="6"/>
        <v/>
      </c>
      <c r="J59" s="31" t="str">
        <f t="shared" si="7"/>
        <v/>
      </c>
      <c r="K59" s="25" t="str">
        <f t="shared" si="8"/>
        <v/>
      </c>
      <c r="T59" t="str">
        <f t="shared" si="9"/>
        <v/>
      </c>
    </row>
    <row r="60" spans="1:20" ht="25.5" x14ac:dyDescent="0.25">
      <c r="A60" s="25">
        <v>48</v>
      </c>
      <c r="B60" s="26" t="s">
        <v>94</v>
      </c>
      <c r="C60" s="25" t="s">
        <v>19</v>
      </c>
      <c r="D60" s="27">
        <v>9240.35</v>
      </c>
      <c r="E60" s="28">
        <v>0.42</v>
      </c>
      <c r="F60" s="29">
        <v>4</v>
      </c>
      <c r="G60" s="28">
        <v>5</v>
      </c>
      <c r="H60" s="30">
        <f t="shared" si="5"/>
        <v>0.20385242384889402</v>
      </c>
      <c r="I60" s="25">
        <f t="shared" si="6"/>
        <v>10</v>
      </c>
      <c r="J60" s="31">
        <f t="shared" si="7"/>
        <v>1</v>
      </c>
      <c r="K60" s="25" t="str">
        <f t="shared" si="8"/>
        <v>C</v>
      </c>
      <c r="T60" s="18">
        <f t="shared" si="9"/>
        <v>0.203853023848894</v>
      </c>
    </row>
    <row r="61" spans="1:20" ht="25.5" x14ac:dyDescent="0.25">
      <c r="A61" s="25">
        <v>49</v>
      </c>
      <c r="B61" s="26" t="s">
        <v>95</v>
      </c>
      <c r="C61" s="25" t="s">
        <v>19</v>
      </c>
      <c r="D61" s="27">
        <v>16162.58</v>
      </c>
      <c r="E61" s="28">
        <v>3.33</v>
      </c>
      <c r="F61" s="29">
        <v>4</v>
      </c>
      <c r="G61" s="28">
        <v>5</v>
      </c>
      <c r="H61" s="30">
        <f t="shared" si="5"/>
        <v>0.28674597823207504</v>
      </c>
      <c r="I61" s="25">
        <f t="shared" si="6"/>
        <v>5</v>
      </c>
      <c r="J61" s="31">
        <f t="shared" si="7"/>
        <v>0.66069395301665745</v>
      </c>
      <c r="K61" s="25" t="str">
        <f t="shared" si="8"/>
        <v>A</v>
      </c>
      <c r="T61" s="18">
        <f t="shared" si="9"/>
        <v>0.28674658823207505</v>
      </c>
    </row>
    <row r="62" spans="1:20" ht="25.5" x14ac:dyDescent="0.25">
      <c r="A62" s="25">
        <v>50</v>
      </c>
      <c r="B62" s="26" t="s">
        <v>96</v>
      </c>
      <c r="C62" s="25" t="s">
        <v>19</v>
      </c>
      <c r="D62" s="27">
        <v>7646.94</v>
      </c>
      <c r="E62" s="28">
        <v>2.5</v>
      </c>
      <c r="F62" s="29">
        <v>4</v>
      </c>
      <c r="G62" s="28">
        <v>5</v>
      </c>
      <c r="H62" s="30">
        <f t="shared" si="5"/>
        <v>0.25125699451202937</v>
      </c>
      <c r="I62" s="25">
        <f t="shared" si="6"/>
        <v>6</v>
      </c>
      <c r="J62" s="31">
        <f t="shared" si="7"/>
        <v>0.73487793986502159</v>
      </c>
      <c r="K62" s="25" t="str">
        <f t="shared" si="8"/>
        <v>A</v>
      </c>
      <c r="T62" s="18">
        <f t="shared" si="9"/>
        <v>0.25125761451202938</v>
      </c>
    </row>
    <row r="63" spans="1:20" ht="25.5" x14ac:dyDescent="0.25">
      <c r="A63" s="25">
        <v>51</v>
      </c>
      <c r="B63" s="26" t="s">
        <v>97</v>
      </c>
      <c r="C63" s="25" t="s">
        <v>19</v>
      </c>
      <c r="D63" s="27">
        <v>9302.23</v>
      </c>
      <c r="E63" s="28">
        <v>0.83</v>
      </c>
      <c r="F63" s="29">
        <v>4</v>
      </c>
      <c r="G63" s="28">
        <v>5</v>
      </c>
      <c r="H63" s="30">
        <f t="shared" si="5"/>
        <v>0.21387744399628347</v>
      </c>
      <c r="I63" s="25">
        <f t="shared" si="6"/>
        <v>9</v>
      </c>
      <c r="J63" s="31">
        <f t="shared" si="7"/>
        <v>0.93981228041359266</v>
      </c>
      <c r="K63" s="25" t="str">
        <f t="shared" si="8"/>
        <v>B</v>
      </c>
      <c r="T63" s="18">
        <f t="shared" si="9"/>
        <v>0.21387807399628347</v>
      </c>
    </row>
    <row r="64" spans="1:20" ht="25.5" x14ac:dyDescent="0.25">
      <c r="A64" s="25">
        <v>52</v>
      </c>
      <c r="B64" s="26" t="s">
        <v>98</v>
      </c>
      <c r="C64" s="25" t="s">
        <v>18</v>
      </c>
      <c r="D64" s="27">
        <v>142800</v>
      </c>
      <c r="E64" s="28">
        <v>0.08</v>
      </c>
      <c r="F64" s="29"/>
      <c r="G64" s="28"/>
      <c r="H64" s="30" t="str">
        <f t="shared" si="5"/>
        <v/>
      </c>
      <c r="I64" s="25" t="str">
        <f t="shared" si="6"/>
        <v/>
      </c>
      <c r="J64" s="31" t="str">
        <f t="shared" si="7"/>
        <v/>
      </c>
      <c r="K64" s="25" t="str">
        <f t="shared" si="8"/>
        <v/>
      </c>
      <c r="T64" t="str">
        <f t="shared" si="9"/>
        <v/>
      </c>
    </row>
    <row r="65" spans="1:20" ht="25.5" x14ac:dyDescent="0.25">
      <c r="A65" s="25">
        <v>53</v>
      </c>
      <c r="B65" s="26" t="s">
        <v>99</v>
      </c>
      <c r="C65" s="25" t="s">
        <v>18</v>
      </c>
      <c r="D65" s="27">
        <v>142800</v>
      </c>
      <c r="E65" s="28">
        <v>0.08</v>
      </c>
      <c r="F65" s="29"/>
      <c r="G65" s="28"/>
      <c r="H65" s="30" t="str">
        <f t="shared" si="5"/>
        <v/>
      </c>
      <c r="I65" s="25" t="str">
        <f t="shared" si="6"/>
        <v/>
      </c>
      <c r="J65" s="31" t="str">
        <f t="shared" si="7"/>
        <v/>
      </c>
      <c r="K65" s="25" t="str">
        <f t="shared" si="8"/>
        <v/>
      </c>
      <c r="T65" t="str">
        <f t="shared" si="9"/>
        <v/>
      </c>
    </row>
    <row r="66" spans="1:20" x14ac:dyDescent="0.25">
      <c r="A66" s="25">
        <v>54</v>
      </c>
      <c r="B66" s="26" t="s">
        <v>100</v>
      </c>
      <c r="C66" s="25" t="s">
        <v>18</v>
      </c>
      <c r="D66" s="27">
        <v>38080</v>
      </c>
      <c r="E66" s="28">
        <v>0.08</v>
      </c>
      <c r="F66" s="29"/>
      <c r="G66" s="28"/>
      <c r="H66" s="30" t="str">
        <f t="shared" si="5"/>
        <v/>
      </c>
      <c r="I66" s="25" t="str">
        <f t="shared" si="6"/>
        <v/>
      </c>
      <c r="J66" s="31" t="str">
        <f t="shared" si="7"/>
        <v/>
      </c>
      <c r="K66" s="25" t="str">
        <f t="shared" si="8"/>
        <v/>
      </c>
      <c r="T66" t="str">
        <f t="shared" si="9"/>
        <v/>
      </c>
    </row>
    <row r="67" spans="1:20" ht="25.5" x14ac:dyDescent="0.25">
      <c r="A67" s="25">
        <v>55</v>
      </c>
      <c r="B67" s="26" t="s">
        <v>101</v>
      </c>
      <c r="C67" s="25" t="s">
        <v>19</v>
      </c>
      <c r="D67" s="27">
        <v>4749.8999999999996</v>
      </c>
      <c r="E67" s="28">
        <v>8.58</v>
      </c>
      <c r="F67" s="29"/>
      <c r="G67" s="28"/>
      <c r="H67" s="30" t="str">
        <f t="shared" si="5"/>
        <v/>
      </c>
      <c r="I67" s="25" t="str">
        <f t="shared" si="6"/>
        <v/>
      </c>
      <c r="J67" s="31" t="str">
        <f t="shared" si="7"/>
        <v/>
      </c>
      <c r="K67" s="25" t="str">
        <f t="shared" si="8"/>
        <v/>
      </c>
      <c r="T67" t="str">
        <f t="shared" si="9"/>
        <v/>
      </c>
    </row>
    <row r="68" spans="1:20" x14ac:dyDescent="0.25">
      <c r="A68" s="25">
        <v>56</v>
      </c>
      <c r="B68" s="26" t="s">
        <v>102</v>
      </c>
      <c r="C68" s="25" t="s">
        <v>18</v>
      </c>
      <c r="D68" s="27">
        <v>46112.5</v>
      </c>
      <c r="E68" s="28">
        <v>0.67</v>
      </c>
      <c r="F68" s="29"/>
      <c r="G68" s="28"/>
      <c r="H68" s="30" t="str">
        <f t="shared" si="5"/>
        <v/>
      </c>
      <c r="I68" s="25" t="str">
        <f t="shared" si="6"/>
        <v/>
      </c>
      <c r="J68" s="31" t="str">
        <f t="shared" si="7"/>
        <v/>
      </c>
      <c r="K68" s="25" t="str">
        <f t="shared" si="8"/>
        <v/>
      </c>
      <c r="T68" t="str">
        <f t="shared" si="9"/>
        <v/>
      </c>
    </row>
    <row r="69" spans="1:20" x14ac:dyDescent="0.25">
      <c r="A69" s="25">
        <v>57</v>
      </c>
      <c r="B69" s="26" t="s">
        <v>103</v>
      </c>
      <c r="C69" s="25" t="s">
        <v>18</v>
      </c>
      <c r="D69" s="27">
        <v>136850</v>
      </c>
      <c r="E69" s="28">
        <v>0.42</v>
      </c>
      <c r="F69" s="29"/>
      <c r="G69" s="28"/>
      <c r="H69" s="30" t="str">
        <f t="shared" si="5"/>
        <v/>
      </c>
      <c r="I69" s="25" t="str">
        <f t="shared" si="6"/>
        <v/>
      </c>
      <c r="J69" s="31" t="str">
        <f t="shared" si="7"/>
        <v/>
      </c>
      <c r="K69" s="25" t="str">
        <f t="shared" si="8"/>
        <v/>
      </c>
      <c r="T69" t="str">
        <f t="shared" si="9"/>
        <v/>
      </c>
    </row>
    <row r="70" spans="1:20" x14ac:dyDescent="0.25">
      <c r="A70" s="25">
        <v>58</v>
      </c>
      <c r="B70" s="26" t="s">
        <v>104</v>
      </c>
      <c r="C70" s="25" t="s">
        <v>18</v>
      </c>
      <c r="D70" s="27">
        <v>77870.63</v>
      </c>
      <c r="E70" s="28">
        <v>0.67</v>
      </c>
      <c r="F70" s="29"/>
      <c r="G70" s="28"/>
      <c r="H70" s="30" t="str">
        <f t="shared" si="5"/>
        <v/>
      </c>
      <c r="I70" s="25" t="str">
        <f t="shared" si="6"/>
        <v/>
      </c>
      <c r="J70" s="31" t="str">
        <f t="shared" si="7"/>
        <v/>
      </c>
      <c r="K70" s="25" t="str">
        <f t="shared" si="8"/>
        <v/>
      </c>
      <c r="T70" t="str">
        <f t="shared" si="9"/>
        <v/>
      </c>
    </row>
    <row r="71" spans="1:20" x14ac:dyDescent="0.25">
      <c r="A71" s="25">
        <v>59</v>
      </c>
      <c r="B71" s="26" t="s">
        <v>105</v>
      </c>
      <c r="C71" s="25" t="s">
        <v>18</v>
      </c>
      <c r="D71" s="27">
        <v>44625</v>
      </c>
      <c r="E71" s="28">
        <v>0.08</v>
      </c>
      <c r="F71" s="29"/>
      <c r="G71" s="28"/>
      <c r="H71" s="30" t="str">
        <f t="shared" si="5"/>
        <v/>
      </c>
      <c r="I71" s="25" t="str">
        <f t="shared" si="6"/>
        <v/>
      </c>
      <c r="J71" s="31" t="str">
        <f t="shared" si="7"/>
        <v/>
      </c>
      <c r="K71" s="25" t="str">
        <f t="shared" si="8"/>
        <v/>
      </c>
      <c r="T71" t="str">
        <f t="shared" si="9"/>
        <v/>
      </c>
    </row>
    <row r="72" spans="1:20" x14ac:dyDescent="0.25">
      <c r="A72" s="25">
        <v>60</v>
      </c>
      <c r="B72" s="26" t="s">
        <v>106</v>
      </c>
      <c r="C72" s="25" t="s">
        <v>18</v>
      </c>
      <c r="D72" s="27">
        <v>56644</v>
      </c>
      <c r="E72" s="28">
        <v>0.17</v>
      </c>
      <c r="F72" s="29"/>
      <c r="G72" s="28"/>
      <c r="H72" s="30" t="str">
        <f t="shared" si="5"/>
        <v/>
      </c>
      <c r="I72" s="25" t="str">
        <f t="shared" si="6"/>
        <v/>
      </c>
      <c r="J72" s="31" t="str">
        <f t="shared" si="7"/>
        <v/>
      </c>
      <c r="K72" s="25" t="str">
        <f t="shared" si="8"/>
        <v/>
      </c>
      <c r="T72" t="str">
        <f t="shared" si="9"/>
        <v/>
      </c>
    </row>
    <row r="73" spans="1:20" x14ac:dyDescent="0.25">
      <c r="A73" s="25">
        <v>61</v>
      </c>
      <c r="B73" s="26" t="s">
        <v>107</v>
      </c>
      <c r="C73" s="25" t="s">
        <v>18</v>
      </c>
      <c r="D73" s="27">
        <v>26715.5</v>
      </c>
      <c r="E73" s="28">
        <v>0.08</v>
      </c>
      <c r="F73" s="29"/>
      <c r="G73" s="28"/>
      <c r="H73" s="30" t="str">
        <f t="shared" si="5"/>
        <v/>
      </c>
      <c r="I73" s="25" t="str">
        <f t="shared" si="6"/>
        <v/>
      </c>
      <c r="J73" s="31" t="str">
        <f t="shared" si="7"/>
        <v/>
      </c>
      <c r="K73" s="25" t="str">
        <f t="shared" si="8"/>
        <v/>
      </c>
      <c r="T73" t="str">
        <f t="shared" si="9"/>
        <v/>
      </c>
    </row>
    <row r="74" spans="1:20" x14ac:dyDescent="0.25">
      <c r="A74" s="25">
        <v>62</v>
      </c>
      <c r="B74" s="26" t="s">
        <v>108</v>
      </c>
      <c r="C74" s="25" t="s">
        <v>18</v>
      </c>
      <c r="D74" s="27">
        <v>11894.05</v>
      </c>
      <c r="E74" s="28">
        <v>0.67</v>
      </c>
      <c r="F74" s="29"/>
      <c r="G74" s="28"/>
      <c r="H74" s="30" t="str">
        <f t="shared" si="5"/>
        <v/>
      </c>
      <c r="I74" s="25" t="str">
        <f t="shared" si="6"/>
        <v/>
      </c>
      <c r="J74" s="31" t="str">
        <f t="shared" si="7"/>
        <v/>
      </c>
      <c r="K74" s="25" t="str">
        <f t="shared" si="8"/>
        <v/>
      </c>
      <c r="T74" t="str">
        <f t="shared" si="9"/>
        <v/>
      </c>
    </row>
    <row r="75" spans="1:20" x14ac:dyDescent="0.25">
      <c r="A75" s="25">
        <v>63</v>
      </c>
      <c r="B75" s="26" t="s">
        <v>109</v>
      </c>
      <c r="C75" s="25" t="s">
        <v>18</v>
      </c>
      <c r="D75" s="27">
        <v>43435</v>
      </c>
      <c r="E75" s="28">
        <v>0.08</v>
      </c>
      <c r="F75" s="29"/>
      <c r="G75" s="28"/>
      <c r="H75" s="30" t="str">
        <f t="shared" si="5"/>
        <v/>
      </c>
      <c r="I75" s="25" t="str">
        <f t="shared" si="6"/>
        <v/>
      </c>
      <c r="J75" s="31" t="str">
        <f t="shared" si="7"/>
        <v/>
      </c>
      <c r="K75" s="25" t="str">
        <f t="shared" si="8"/>
        <v/>
      </c>
      <c r="T75" t="str">
        <f t="shared" si="9"/>
        <v/>
      </c>
    </row>
    <row r="76" spans="1:20" x14ac:dyDescent="0.25">
      <c r="A76" s="25">
        <v>64</v>
      </c>
      <c r="B76" s="26" t="s">
        <v>110</v>
      </c>
      <c r="C76" s="25" t="s">
        <v>18</v>
      </c>
      <c r="D76" s="27">
        <v>29155</v>
      </c>
      <c r="E76" s="28">
        <v>0.25</v>
      </c>
      <c r="F76" s="29"/>
      <c r="G76" s="28"/>
      <c r="H76" s="30" t="str">
        <f t="shared" ref="H76:H107" si="10">IF(OR(D76="",E76="",F76="",G76=""),"",$B$4*(IF($O$12=$N$12,0,(D76-$N$12)/($O$12-$N$12)))+$B$5*(IF($Q$12=$P$12,0,(E76-$P$12)/($Q$12-$P$12)))+$B$6*((F76-1)/4)+$B$7*(IF($S$12=$R$12,0,(G76-$R$12)/($S$12-$R$12))))</f>
        <v/>
      </c>
      <c r="I76" s="25" t="str">
        <f t="shared" si="6"/>
        <v/>
      </c>
      <c r="J76" s="31" t="str">
        <f t="shared" ref="J76:J107" si="11">IF(I76="","",SUMIFS($H$12:$H$78,$I$12:$I$78,"&lt;="&amp;I76)/SUM($H$12:$H$78))</f>
        <v/>
      </c>
      <c r="K76" s="25" t="str">
        <f t="shared" ref="K76:K107" si="12">IF(J76="","",IF(J76&lt;=0.8,"A",IF(J76&lt;=0.95,"B","C")))</f>
        <v/>
      </c>
      <c r="T76" t="str">
        <f t="shared" si="9"/>
        <v/>
      </c>
    </row>
    <row r="77" spans="1:20" x14ac:dyDescent="0.25">
      <c r="A77" s="25">
        <v>65</v>
      </c>
      <c r="B77" s="26" t="s">
        <v>111</v>
      </c>
      <c r="C77" s="25" t="s">
        <v>18</v>
      </c>
      <c r="D77" s="27">
        <v>33082</v>
      </c>
      <c r="E77" s="28">
        <v>0.17</v>
      </c>
      <c r="F77" s="29"/>
      <c r="G77" s="28"/>
      <c r="H77" s="30" t="str">
        <f t="shared" si="10"/>
        <v/>
      </c>
      <c r="I77" s="25" t="str">
        <f t="shared" si="6"/>
        <v/>
      </c>
      <c r="J77" s="31" t="str">
        <f t="shared" si="11"/>
        <v/>
      </c>
      <c r="K77" s="25" t="str">
        <f t="shared" si="12"/>
        <v/>
      </c>
      <c r="T77" t="str">
        <f t="shared" si="9"/>
        <v/>
      </c>
    </row>
    <row r="78" spans="1:20" x14ac:dyDescent="0.25">
      <c r="A78" s="25">
        <v>66</v>
      </c>
      <c r="B78" s="26" t="s">
        <v>112</v>
      </c>
      <c r="C78" s="25" t="s">
        <v>18</v>
      </c>
      <c r="D78" s="27">
        <v>107100</v>
      </c>
      <c r="E78" s="28">
        <v>0.17</v>
      </c>
      <c r="F78" s="29"/>
      <c r="G78" s="28"/>
      <c r="H78" s="30" t="str">
        <f t="shared" si="10"/>
        <v/>
      </c>
      <c r="I78" s="25" t="str">
        <f t="shared" si="6"/>
        <v/>
      </c>
      <c r="J78" s="31" t="str">
        <f t="shared" si="11"/>
        <v/>
      </c>
      <c r="K78" s="25" t="str">
        <f t="shared" si="12"/>
        <v/>
      </c>
      <c r="T78" t="str">
        <f t="shared" si="9"/>
        <v/>
      </c>
    </row>
  </sheetData>
  <mergeCells count="1">
    <mergeCell ref="A1:M1"/>
  </mergeCells>
  <conditionalFormatting sqref="B8">
    <cfRule type="cellIs" dxfId="3" priority="2" operator="notEqual">
      <formula>1</formula>
    </cfRule>
  </conditionalFormatting>
  <conditionalFormatting sqref="K12:K78">
    <cfRule type="cellIs" dxfId="2" priority="3" operator="equal">
      <formula>"A"</formula>
    </cfRule>
    <cfRule type="cellIs" dxfId="1" priority="4" operator="equal">
      <formula>"C"</formula>
    </cfRule>
    <cfRule type="cellIs" dxfId="0" priority="5" operator="equal">
      <formula>"B"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Listas!$A$2:$A$5</xm:f>
          </x14:formula1>
          <x14:formula2>
            <xm:f>0</xm:f>
          </x14:formula2>
          <xm:sqref>C12:C78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Listas</vt:lpstr>
      <vt:lpstr>Clasificación ABC Multicriterio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 caceres manzano</cp:lastModifiedBy>
  <cp:revision>0</cp:revision>
  <dcterms:created xsi:type="dcterms:W3CDTF">2026-08-22T19:16:59Z</dcterms:created>
  <dcterms:modified xsi:type="dcterms:W3CDTF">2026-08-22T20:14:32Z</dcterms:modified>
  <dc:language>en-US</dc:language>
</cp:coreProperties>
</file>